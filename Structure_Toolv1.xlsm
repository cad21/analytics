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13_ncr:1_{16E5CC2A-AA5B-4F53-AE30-C378F4E5B297}" xr6:coauthVersionLast="45" xr6:coauthVersionMax="45" xr10:uidLastSave="{00000000-0000-0000-0000-000000000000}"/>
  <bookViews>
    <workbookView xWindow="-110" yWindow="-110" windowWidth="19420" windowHeight="10420" tabRatio="761" firstSheet="1" activeTab="9" xr2:uid="{8A61660A-95C1-41AB-B46A-98E80B32A69E}"/>
  </bookViews>
  <sheets>
    <sheet name="Legend" sheetId="16" state="hidden" r:id="rId1"/>
    <sheet name="Temp" sheetId="15" r:id="rId2"/>
    <sheet name="PowerOpt" sheetId="7" r:id="rId3"/>
    <sheet name="PowerOpt-Collar" sheetId="10" r:id="rId4"/>
    <sheet name="PowerOpt-EnhancedCollar" sheetId="11" r:id="rId5"/>
    <sheet name="AsianOpt" sheetId="12" r:id="rId6"/>
    <sheet name="AsianOpt-Collar" sheetId="13" r:id="rId7"/>
    <sheet name="AsianOpt-EnhancedCollar" sheetId="14" r:id="rId8"/>
    <sheet name="SparkSpread-Tolling" sheetId="1" r:id="rId9"/>
    <sheet name="SparkSpread-Collar" sheetId="2" r:id="rId10"/>
    <sheet name="SparkSpread-EnhancedCollar" sheetId="3" r:id="rId1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1" i="3" l="1"/>
  <c r="N12" i="3"/>
  <c r="N13" i="3"/>
  <c r="N14" i="3"/>
  <c r="N15" i="3"/>
  <c r="N16" i="3"/>
  <c r="N17" i="3"/>
  <c r="N18" i="3"/>
  <c r="N19" i="3"/>
  <c r="N20" i="3"/>
  <c r="N21" i="3"/>
  <c r="N10" i="3"/>
  <c r="L10" i="1"/>
  <c r="L11" i="1"/>
  <c r="L12" i="1"/>
  <c r="L13" i="1"/>
  <c r="L14" i="1"/>
  <c r="L15" i="1"/>
  <c r="L16" i="1"/>
  <c r="L17" i="1"/>
  <c r="L18" i="1"/>
  <c r="L19" i="1"/>
  <c r="L20" i="1"/>
  <c r="L21" i="1"/>
  <c r="H11" i="14"/>
  <c r="H12" i="14"/>
  <c r="H13" i="14"/>
  <c r="H14" i="14"/>
  <c r="H15" i="14"/>
  <c r="H16" i="14"/>
  <c r="H17" i="14"/>
  <c r="H18" i="14"/>
  <c r="H19" i="14"/>
  <c r="H20" i="14"/>
  <c r="H21" i="14"/>
  <c r="H10" i="14"/>
  <c r="G11" i="13"/>
  <c r="G12" i="13"/>
  <c r="G13" i="13"/>
  <c r="G14" i="13"/>
  <c r="G15" i="13"/>
  <c r="G16" i="13"/>
  <c r="G17" i="13"/>
  <c r="G18" i="13"/>
  <c r="G19" i="13"/>
  <c r="G20" i="13"/>
  <c r="G21" i="13"/>
  <c r="G10" i="13"/>
  <c r="F11" i="12"/>
  <c r="F12" i="12"/>
  <c r="F13" i="12"/>
  <c r="F14" i="12"/>
  <c r="F15" i="12"/>
  <c r="F16" i="12"/>
  <c r="F17" i="12"/>
  <c r="F18" i="12"/>
  <c r="F19" i="12"/>
  <c r="F20" i="12"/>
  <c r="F21" i="12"/>
  <c r="F10" i="12"/>
  <c r="H11" i="11"/>
  <c r="H12" i="11"/>
  <c r="H13" i="11"/>
  <c r="H14" i="11"/>
  <c r="H15" i="11"/>
  <c r="H16" i="11"/>
  <c r="H17" i="11"/>
  <c r="H18" i="11"/>
  <c r="H19" i="11"/>
  <c r="H20" i="11"/>
  <c r="H21" i="11"/>
  <c r="H10" i="11"/>
  <c r="M11" i="2" l="1"/>
  <c r="M12" i="2"/>
  <c r="M13" i="2"/>
  <c r="M14" i="2"/>
  <c r="M15" i="2"/>
  <c r="M16" i="2"/>
  <c r="M17" i="2"/>
  <c r="M18" i="2"/>
  <c r="M19" i="2"/>
  <c r="M20" i="2"/>
  <c r="M21" i="2"/>
  <c r="M10" i="2"/>
  <c r="G11" i="10"/>
  <c r="G12" i="10"/>
  <c r="G13" i="10"/>
  <c r="G14" i="10"/>
  <c r="G15" i="10"/>
  <c r="G16" i="10"/>
  <c r="G17" i="10"/>
  <c r="G18" i="10"/>
  <c r="G19" i="10"/>
  <c r="G20" i="10"/>
  <c r="G21" i="10"/>
  <c r="G10" i="10"/>
  <c r="F10" i="7"/>
  <c r="F11" i="7"/>
  <c r="F12" i="7"/>
  <c r="F13" i="7"/>
  <c r="F14" i="7"/>
  <c r="F15" i="7"/>
  <c r="F16" i="7"/>
  <c r="F17" i="7"/>
  <c r="F18" i="7"/>
  <c r="F19" i="7"/>
  <c r="F20" i="7"/>
  <c r="F21" i="7"/>
  <c r="B21" i="14" l="1"/>
  <c r="I21" i="14" s="1"/>
  <c r="B20" i="14"/>
  <c r="I20" i="14" s="1"/>
  <c r="I19" i="14"/>
  <c r="B19" i="14"/>
  <c r="B18" i="14"/>
  <c r="I18" i="14" s="1"/>
  <c r="B17" i="14"/>
  <c r="I17" i="14" s="1"/>
  <c r="B16" i="14"/>
  <c r="I16" i="14" s="1"/>
  <c r="I15" i="14"/>
  <c r="B15" i="14"/>
  <c r="B14" i="14"/>
  <c r="I14" i="14" s="1"/>
  <c r="G13" i="14"/>
  <c r="G14" i="14" s="1"/>
  <c r="G15" i="14" s="1"/>
  <c r="G16" i="14" s="1"/>
  <c r="G17" i="14" s="1"/>
  <c r="G18" i="14" s="1"/>
  <c r="G19" i="14" s="1"/>
  <c r="G20" i="14" s="1"/>
  <c r="G21" i="14" s="1"/>
  <c r="B13" i="14"/>
  <c r="I13" i="14" s="1"/>
  <c r="G12" i="14"/>
  <c r="B12" i="14"/>
  <c r="I12" i="14" s="1"/>
  <c r="I11" i="14"/>
  <c r="G11" i="14"/>
  <c r="B11" i="14"/>
  <c r="I10" i="14"/>
  <c r="B10" i="14"/>
  <c r="H21" i="13"/>
  <c r="B21" i="13"/>
  <c r="B20" i="13"/>
  <c r="H20" i="13" s="1"/>
  <c r="H19" i="13"/>
  <c r="B19" i="13"/>
  <c r="B18" i="13"/>
  <c r="H18" i="13" s="1"/>
  <c r="H17" i="13"/>
  <c r="B17" i="13"/>
  <c r="B16" i="13"/>
  <c r="H16" i="13" s="1"/>
  <c r="H15" i="13"/>
  <c r="B15" i="13"/>
  <c r="B14" i="13"/>
  <c r="H14" i="13" s="1"/>
  <c r="H13" i="13"/>
  <c r="B13" i="13"/>
  <c r="F12" i="13"/>
  <c r="F13" i="13" s="1"/>
  <c r="F14" i="13" s="1"/>
  <c r="F15" i="13" s="1"/>
  <c r="F16" i="13" s="1"/>
  <c r="F17" i="13" s="1"/>
  <c r="F18" i="13" s="1"/>
  <c r="F19" i="13" s="1"/>
  <c r="F20" i="13" s="1"/>
  <c r="F21" i="13" s="1"/>
  <c r="B12" i="13"/>
  <c r="H12" i="13" s="1"/>
  <c r="H11" i="13"/>
  <c r="F11" i="13"/>
  <c r="B11" i="13"/>
  <c r="B10" i="13"/>
  <c r="H10" i="13" s="1"/>
  <c r="B21" i="12"/>
  <c r="G21" i="12" s="1"/>
  <c r="B20" i="12"/>
  <c r="G20" i="12" s="1"/>
  <c r="B19" i="12"/>
  <c r="G19" i="12" s="1"/>
  <c r="B18" i="12"/>
  <c r="B17" i="12"/>
  <c r="G17" i="12" s="1"/>
  <c r="B16" i="12"/>
  <c r="G16" i="12" s="1"/>
  <c r="G15" i="12"/>
  <c r="B15" i="12"/>
  <c r="G14" i="12"/>
  <c r="B14" i="12"/>
  <c r="B13" i="12"/>
  <c r="G13" i="12" s="1"/>
  <c r="E12" i="12"/>
  <c r="E13" i="12" s="1"/>
  <c r="E14" i="12" s="1"/>
  <c r="E15" i="12" s="1"/>
  <c r="E16" i="12" s="1"/>
  <c r="E17" i="12" s="1"/>
  <c r="E18" i="12" s="1"/>
  <c r="E19" i="12" s="1"/>
  <c r="E20" i="12" s="1"/>
  <c r="E21" i="12" s="1"/>
  <c r="B12" i="12"/>
  <c r="G12" i="12" s="1"/>
  <c r="G11" i="12"/>
  <c r="E11" i="12"/>
  <c r="B11" i="12"/>
  <c r="G10" i="12"/>
  <c r="B10" i="12"/>
  <c r="G18" i="12" l="1"/>
  <c r="B21" i="11"/>
  <c r="I21" i="11" s="1"/>
  <c r="I20" i="11"/>
  <c r="B20" i="11"/>
  <c r="I19" i="11"/>
  <c r="B19" i="11"/>
  <c r="B18" i="11"/>
  <c r="I18" i="11" s="1"/>
  <c r="B17" i="11"/>
  <c r="I17" i="11" s="1"/>
  <c r="I16" i="11"/>
  <c r="B16" i="11"/>
  <c r="I15" i="11"/>
  <c r="B15" i="11"/>
  <c r="B14" i="11"/>
  <c r="I14" i="11" s="1"/>
  <c r="G13" i="11"/>
  <c r="G14" i="11" s="1"/>
  <c r="G15" i="11" s="1"/>
  <c r="G16" i="11" s="1"/>
  <c r="G17" i="11" s="1"/>
  <c r="G18" i="11" s="1"/>
  <c r="G19" i="11" s="1"/>
  <c r="G20" i="11" s="1"/>
  <c r="G21" i="11" s="1"/>
  <c r="B13" i="11"/>
  <c r="I13" i="11" s="1"/>
  <c r="I12" i="11"/>
  <c r="G12" i="11"/>
  <c r="B12" i="11"/>
  <c r="I11" i="11"/>
  <c r="G11" i="11"/>
  <c r="B11" i="11"/>
  <c r="B10" i="11"/>
  <c r="I10" i="11" s="1"/>
  <c r="B21" i="10"/>
  <c r="H21" i="10" s="1"/>
  <c r="B20" i="10"/>
  <c r="H20" i="10" s="1"/>
  <c r="H19" i="10"/>
  <c r="B19" i="10"/>
  <c r="B18" i="10"/>
  <c r="H18" i="10" s="1"/>
  <c r="B17" i="10"/>
  <c r="H17" i="10" s="1"/>
  <c r="B16" i="10"/>
  <c r="H16" i="10" s="1"/>
  <c r="H15" i="10"/>
  <c r="B15" i="10"/>
  <c r="B14" i="10"/>
  <c r="H14" i="10" s="1"/>
  <c r="F13" i="10"/>
  <c r="F14" i="10" s="1"/>
  <c r="F15" i="10" s="1"/>
  <c r="F16" i="10" s="1"/>
  <c r="F17" i="10" s="1"/>
  <c r="F18" i="10" s="1"/>
  <c r="F19" i="10" s="1"/>
  <c r="F20" i="10" s="1"/>
  <c r="F21" i="10" s="1"/>
  <c r="B13" i="10"/>
  <c r="H13" i="10" s="1"/>
  <c r="F12" i="10"/>
  <c r="B12" i="10"/>
  <c r="H12" i="10" s="1"/>
  <c r="H11" i="10"/>
  <c r="F11" i="10"/>
  <c r="B11" i="10"/>
  <c r="H10" i="10"/>
  <c r="B10" i="10"/>
  <c r="B21" i="7"/>
  <c r="G21" i="7" s="1"/>
  <c r="B20" i="7"/>
  <c r="G20" i="7" s="1"/>
  <c r="G19" i="7"/>
  <c r="B19" i="7"/>
  <c r="B18" i="7"/>
  <c r="G18" i="7" s="1"/>
  <c r="B17" i="7"/>
  <c r="B16" i="7"/>
  <c r="G16" i="7" s="1"/>
  <c r="B15" i="7"/>
  <c r="B14" i="7"/>
  <c r="G14" i="7" s="1"/>
  <c r="B13" i="7"/>
  <c r="B12" i="7"/>
  <c r="G12" i="7" s="1"/>
  <c r="E11" i="7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B11" i="7"/>
  <c r="B10" i="7"/>
  <c r="G10" i="7" s="1"/>
  <c r="B21" i="3"/>
  <c r="O21" i="3" s="1"/>
  <c r="B20" i="3"/>
  <c r="O20" i="3" s="1"/>
  <c r="O19" i="3"/>
  <c r="B19" i="3"/>
  <c r="B18" i="3"/>
  <c r="O18" i="3" s="1"/>
  <c r="B17" i="3"/>
  <c r="O17" i="3" s="1"/>
  <c r="B16" i="3"/>
  <c r="O16" i="3" s="1"/>
  <c r="O15" i="3"/>
  <c r="B15" i="3"/>
  <c r="B14" i="3"/>
  <c r="O14" i="3" s="1"/>
  <c r="B13" i="3"/>
  <c r="O13" i="3" s="1"/>
  <c r="M12" i="3"/>
  <c r="M13" i="3" s="1"/>
  <c r="M14" i="3" s="1"/>
  <c r="M15" i="3" s="1"/>
  <c r="M16" i="3" s="1"/>
  <c r="M17" i="3" s="1"/>
  <c r="M18" i="3" s="1"/>
  <c r="M19" i="3" s="1"/>
  <c r="M20" i="3" s="1"/>
  <c r="M21" i="3" s="1"/>
  <c r="B12" i="3"/>
  <c r="O12" i="3" s="1"/>
  <c r="M11" i="3"/>
  <c r="L11" i="3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K11" i="3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B11" i="3"/>
  <c r="B10" i="3"/>
  <c r="O10" i="3" s="1"/>
  <c r="B21" i="2"/>
  <c r="N21" i="2" s="1"/>
  <c r="B20" i="2"/>
  <c r="N20" i="2" s="1"/>
  <c r="B19" i="2"/>
  <c r="B18" i="2"/>
  <c r="B17" i="2"/>
  <c r="N17" i="2" s="1"/>
  <c r="N16" i="2"/>
  <c r="B16" i="2"/>
  <c r="B15" i="2"/>
  <c r="N15" i="2" s="1"/>
  <c r="B14" i="2"/>
  <c r="B13" i="2"/>
  <c r="N13" i="2" s="1"/>
  <c r="N12" i="2"/>
  <c r="J12" i="2"/>
  <c r="J13" i="2" s="1"/>
  <c r="J14" i="2" s="1"/>
  <c r="J15" i="2" s="1"/>
  <c r="J16" i="2" s="1"/>
  <c r="J17" i="2" s="1"/>
  <c r="J18" i="2" s="1"/>
  <c r="J19" i="2" s="1"/>
  <c r="J20" i="2" s="1"/>
  <c r="J21" i="2" s="1"/>
  <c r="B12" i="2"/>
  <c r="L11" i="2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K11" i="2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J11" i="2"/>
  <c r="B11" i="2"/>
  <c r="N11" i="2" s="1"/>
  <c r="N10" i="2"/>
  <c r="B10" i="2"/>
  <c r="O11" i="3" l="1"/>
  <c r="N14" i="2"/>
  <c r="N18" i="2"/>
  <c r="G15" i="7"/>
  <c r="G11" i="7"/>
  <c r="G13" i="7"/>
  <c r="G17" i="7"/>
  <c r="N19" i="2"/>
  <c r="B21" i="1" l="1"/>
  <c r="M21" i="1" s="1"/>
  <c r="B20" i="1"/>
  <c r="M19" i="1"/>
  <c r="B19" i="1"/>
  <c r="B18" i="1"/>
  <c r="B17" i="1"/>
  <c r="M17" i="1" s="1"/>
  <c r="B16" i="1"/>
  <c r="M16" i="1" s="1"/>
  <c r="B15" i="1"/>
  <c r="B14" i="1"/>
  <c r="M14" i="1" s="1"/>
  <c r="B13" i="1"/>
  <c r="M13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B12" i="1"/>
  <c r="M12" i="1" s="1"/>
  <c r="K11" i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J11" i="1"/>
  <c r="I11" i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B11" i="1"/>
  <c r="M10" i="1"/>
  <c r="B10" i="1"/>
  <c r="M11" i="1" l="1"/>
  <c r="M15" i="1"/>
  <c r="M20" i="1"/>
  <c r="M18" i="1"/>
</calcChain>
</file>

<file path=xl/sharedStrings.xml><?xml version="1.0" encoding="utf-8"?>
<sst xmlns="http://schemas.openxmlformats.org/spreadsheetml/2006/main" count="513" uniqueCount="93">
  <si>
    <t>Valuation date</t>
  </si>
  <si>
    <t>Gas burn efficiency:</t>
  </si>
  <si>
    <t>Tons of CO2 per MWh power produced:</t>
  </si>
  <si>
    <t>Hours Peak</t>
  </si>
  <si>
    <t>Peak</t>
  </si>
  <si>
    <t>Hours Off-Peak (OP)</t>
  </si>
  <si>
    <t>OP</t>
  </si>
  <si>
    <t>Month-Year</t>
  </si>
  <si>
    <t>Exercise Date</t>
  </si>
  <si>
    <t>Base</t>
  </si>
  <si>
    <t>VOL POWER</t>
  </si>
  <si>
    <t>VOL "GAS + CO2"</t>
  </si>
  <si>
    <t>Correlation POWER vs "GAS + CO2"</t>
  </si>
  <si>
    <t>T</t>
  </si>
  <si>
    <t>Base EU/MWh</t>
  </si>
  <si>
    <t>Peak EU/MWh</t>
  </si>
  <si>
    <t>OP EU/MWh</t>
  </si>
  <si>
    <t>GAS EU/MWh</t>
  </si>
  <si>
    <t>CO2 EU/ton</t>
  </si>
  <si>
    <t>Num_Days</t>
  </si>
  <si>
    <t>Peak_OffPeak</t>
  </si>
  <si>
    <t>Capacity_Factor</t>
  </si>
  <si>
    <t>Interest_rate</t>
  </si>
  <si>
    <t>CallPut</t>
  </si>
  <si>
    <t>Hours Baseload</t>
  </si>
  <si>
    <t>FV</t>
  </si>
  <si>
    <t>Intrinsic</t>
  </si>
  <si>
    <t>Extrinsic</t>
  </si>
  <si>
    <t>Delta Pwr</t>
  </si>
  <si>
    <t>Vega Pwr</t>
  </si>
  <si>
    <t>Gamma Pwr</t>
  </si>
  <si>
    <t>Strike</t>
  </si>
  <si>
    <t>Collar_Cost</t>
  </si>
  <si>
    <t>Enhanced_Collar_Cost</t>
  </si>
  <si>
    <t>Gamma_Gas</t>
  </si>
  <si>
    <t>Gamma_Pwr</t>
  </si>
  <si>
    <t>Vega_Gas</t>
  </si>
  <si>
    <t>Vega_Pwr</t>
  </si>
  <si>
    <t>Delta_Gas</t>
  </si>
  <si>
    <t>Delta_Pwr</t>
  </si>
  <si>
    <t>Simulation</t>
  </si>
  <si>
    <t>Stress(-10%)</t>
  </si>
  <si>
    <t>Stress(+10%)</t>
  </si>
  <si>
    <t>Stress(+5%)</t>
  </si>
  <si>
    <t>Stress(-15%)</t>
  </si>
  <si>
    <t>Stress(+15%)</t>
  </si>
  <si>
    <t>Stress Test</t>
  </si>
  <si>
    <t>Shift Type</t>
  </si>
  <si>
    <t>Vols</t>
  </si>
  <si>
    <t>Prices</t>
  </si>
  <si>
    <t>Component VaR</t>
  </si>
  <si>
    <t>Strike_1</t>
  </si>
  <si>
    <t>Strike_2</t>
  </si>
  <si>
    <t>CallPut_1</t>
  </si>
  <si>
    <t>CallPut_2</t>
  </si>
  <si>
    <t>FV_1</t>
  </si>
  <si>
    <t>FV_2</t>
  </si>
  <si>
    <t>Intrinsic_1</t>
  </si>
  <si>
    <t>Intrinsic_2</t>
  </si>
  <si>
    <t>Extrinsic_1</t>
  </si>
  <si>
    <t>Extrinsic_2</t>
  </si>
  <si>
    <t>Delta_1</t>
  </si>
  <si>
    <t>Delta_2</t>
  </si>
  <si>
    <t>Vega_1</t>
  </si>
  <si>
    <t>Vega_2</t>
  </si>
  <si>
    <t>Gamma_1</t>
  </si>
  <si>
    <t>Gamma_2</t>
  </si>
  <si>
    <t>Strike_3</t>
  </si>
  <si>
    <t>CallPut_3</t>
  </si>
  <si>
    <t>FV_3</t>
  </si>
  <si>
    <t>Intrinsic_3</t>
  </si>
  <si>
    <t>Extrinsic_3</t>
  </si>
  <si>
    <t>Delta_3</t>
  </si>
  <si>
    <t>Vega_3</t>
  </si>
  <si>
    <t>Gamma_3</t>
  </si>
  <si>
    <t>Delta_Pwr_1</t>
  </si>
  <si>
    <t>Delta_Gas_1</t>
  </si>
  <si>
    <t>Delta_Pwr_2</t>
  </si>
  <si>
    <t>Delta_Gas_2</t>
  </si>
  <si>
    <t>Vega_Pwr_1</t>
  </si>
  <si>
    <t>Vega_Gas_3</t>
  </si>
  <si>
    <t>Vega_Gas_1</t>
  </si>
  <si>
    <t>Vega_Pwr_2</t>
  </si>
  <si>
    <t>Vega_Gas_2</t>
  </si>
  <si>
    <t>Gamma_Pwr_1</t>
  </si>
  <si>
    <t>Gamma_Gas_1</t>
  </si>
  <si>
    <t>Gamma_Pwr_2</t>
  </si>
  <si>
    <t>Gamma_Gas_2</t>
  </si>
  <si>
    <t>Delta_Pwr_3</t>
  </si>
  <si>
    <t>Delta_Gas_3</t>
  </si>
  <si>
    <t>Vega_Pwr_3</t>
  </si>
  <si>
    <t>Gamma_Pwr_3</t>
  </si>
  <si>
    <t>Gamma_Gas_3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</si>
</sst>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%"/>
    <numFmt numFmtId="165" formatCode="0.000"/>
    <numFmt numFmtId="166" formatCode="_-* #,##0.00\ _€_-;\-* #,##0.00\ _€_-;_-* &quot;-&quot;??\ _€_-;_-@_-"/>
    <numFmt numFmtId="167" formatCode="#,##0_ ;[Red]\-#,##0\ "/>
    <numFmt numFmtId="168" formatCode="#,##0.000_ ;[Red]\-#,##0.000\ "/>
    <numFmt numFmtId="169" formatCode="#,##0.00_ ;[Red]\-#,##0.00\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2" fillId="3" borderId="1" xfId="0" applyFont="1" applyFill="1" applyBorder="1"/>
    <xf numFmtId="14" fontId="0" fillId="2" borderId="2" xfId="0" applyNumberFormat="1" applyFill="1" applyBorder="1"/>
    <xf numFmtId="0" fontId="3" fillId="3" borderId="3" xfId="0" applyFont="1" applyFill="1" applyBorder="1"/>
    <xf numFmtId="0" fontId="3" fillId="3" borderId="4" xfId="0" applyFont="1" applyFill="1" applyBorder="1"/>
    <xf numFmtId="9" fontId="4" fillId="2" borderId="5" xfId="0" applyNumberFormat="1" applyFont="1" applyFill="1" applyBorder="1"/>
    <xf numFmtId="0" fontId="3" fillId="3" borderId="6" xfId="0" applyFont="1" applyFill="1" applyBorder="1"/>
    <xf numFmtId="0" fontId="3" fillId="3" borderId="0" xfId="0" applyFont="1" applyFill="1"/>
    <xf numFmtId="0" fontId="4" fillId="2" borderId="7" xfId="0" applyFont="1" applyFill="1" applyBorder="1"/>
    <xf numFmtId="15" fontId="0" fillId="2" borderId="0" xfId="0" applyNumberFormat="1" applyFill="1"/>
    <xf numFmtId="9" fontId="4" fillId="2" borderId="7" xfId="0" applyNumberFormat="1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9" fontId="4" fillId="2" borderId="10" xfId="0" applyNumberFormat="1" applyFont="1" applyFill="1" applyBorder="1"/>
    <xf numFmtId="0" fontId="2" fillId="2" borderId="0" xfId="0" applyFont="1" applyFill="1"/>
    <xf numFmtId="0" fontId="5" fillId="2" borderId="0" xfId="0" applyFont="1" applyFill="1"/>
    <xf numFmtId="0" fontId="2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7" fontId="0" fillId="2" borderId="0" xfId="0" applyNumberFormat="1" applyFill="1" applyAlignment="1">
      <alignment horizontal="left"/>
    </xf>
    <xf numFmtId="15" fontId="0" fillId="2" borderId="0" xfId="0" applyNumberFormat="1" applyFill="1" applyAlignment="1">
      <alignment horizontal="left"/>
    </xf>
    <xf numFmtId="43" fontId="0" fillId="2" borderId="0" xfId="1" applyFont="1" applyFill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6" fontId="0" fillId="2" borderId="0" xfId="0" applyNumberFormat="1" applyFill="1"/>
    <xf numFmtId="2" fontId="0" fillId="2" borderId="0" xfId="0" applyNumberFormat="1" applyFill="1" applyAlignment="1">
      <alignment horizontal="left"/>
    </xf>
    <xf numFmtId="0" fontId="2" fillId="3" borderId="0" xfId="0" applyFont="1" applyFill="1" applyAlignment="1">
      <alignment vertical="center"/>
    </xf>
    <xf numFmtId="0" fontId="6" fillId="3" borderId="0" xfId="0" applyFont="1" applyFill="1" applyAlignment="1">
      <alignment horizontal="center"/>
    </xf>
    <xf numFmtId="167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9" fontId="0" fillId="2" borderId="0" xfId="2" applyFont="1" applyFill="1" applyAlignment="1">
      <alignment horizontal="center"/>
    </xf>
    <xf numFmtId="9" fontId="0" fillId="2" borderId="0" xfId="2" applyFont="1" applyFill="1"/>
    <xf numFmtId="169" fontId="0" fillId="2" borderId="0" xfId="0" applyNumberFormat="1" applyFill="1"/>
    <xf numFmtId="0" fontId="2" fillId="3" borderId="1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43" fontId="0" fillId="2" borderId="11" xfId="1" applyFont="1" applyFill="1" applyBorder="1" applyAlignment="1">
      <alignment horizontal="center"/>
    </xf>
    <xf numFmtId="43" fontId="0" fillId="2" borderId="0" xfId="1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 wrapText="1"/>
    </xf>
    <xf numFmtId="164" fontId="0" fillId="2" borderId="0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0" fontId="0" fillId="2" borderId="0" xfId="0" applyFill="1" applyBorder="1"/>
    <xf numFmtId="14" fontId="0" fillId="2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DAB6B-AA17-4E14-9B1D-8304597A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2</xdr:col>
      <xdr:colOff>537882</xdr:colOff>
      <xdr:row>1</xdr:row>
      <xdr:rowOff>164354</xdr:rowOff>
    </xdr:from>
    <xdr:to>
      <xdr:col>3</xdr:col>
      <xdr:colOff>986118</xdr:colOff>
      <xdr:row>4</xdr:row>
      <xdr:rowOff>68170</xdr:rowOff>
    </xdr:to>
    <xdr:sp macro="[0]!delete_results_power" textlink="">
      <xdr:nvSpPr>
        <xdr:cNvPr id="4" name="Rounded Rectangle 1">
          <a:extLst>
            <a:ext uri="{FF2B5EF4-FFF2-40B4-BE49-F238E27FC236}">
              <a16:creationId xmlns:a16="http://schemas.microsoft.com/office/drawing/2014/main" id="{FBC47EB7-0423-4B28-AFA3-2168F45E4451}"/>
            </a:ext>
          </a:extLst>
        </xdr:cNvPr>
        <xdr:cNvSpPr/>
      </xdr:nvSpPr>
      <xdr:spPr>
        <a:xfrm>
          <a:off x="2554941" y="672354"/>
          <a:ext cx="1456765" cy="4790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  <xdr:twoCellAnchor>
    <xdr:from>
      <xdr:col>4</xdr:col>
      <xdr:colOff>219635</xdr:colOff>
      <xdr:row>1</xdr:row>
      <xdr:rowOff>167342</xdr:rowOff>
    </xdr:from>
    <xdr:to>
      <xdr:col>5</xdr:col>
      <xdr:colOff>667871</xdr:colOff>
      <xdr:row>4</xdr:row>
      <xdr:rowOff>71158</xdr:rowOff>
    </xdr:to>
    <xdr:sp macro="[0]!Value_Black" textlink="">
      <xdr:nvSpPr>
        <xdr:cNvPr id="5" name="Rounded Rectangle 1">
          <a:extLst>
            <a:ext uri="{FF2B5EF4-FFF2-40B4-BE49-F238E27FC236}">
              <a16:creationId xmlns:a16="http://schemas.microsoft.com/office/drawing/2014/main" id="{B0C627B6-69EA-42CE-87E1-A0A0B74044B6}"/>
            </a:ext>
          </a:extLst>
        </xdr:cNvPr>
        <xdr:cNvSpPr/>
      </xdr:nvSpPr>
      <xdr:spPr>
        <a:xfrm>
          <a:off x="4253753" y="675342"/>
          <a:ext cx="1456765" cy="4790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526143</xdr:colOff>
      <xdr:row>5</xdr:row>
      <xdr:rowOff>9072</xdr:rowOff>
    </xdr:from>
    <xdr:to>
      <xdr:col>3</xdr:col>
      <xdr:colOff>974379</xdr:colOff>
      <xdr:row>7</xdr:row>
      <xdr:rowOff>112459</xdr:rowOff>
    </xdr:to>
    <xdr:sp macro="[0]!delete_results_power" textlink="">
      <xdr:nvSpPr>
        <xdr:cNvPr id="6" name="Rounded Rectangle 1">
          <a:extLst>
            <a:ext uri="{FF2B5EF4-FFF2-40B4-BE49-F238E27FC236}">
              <a16:creationId xmlns:a16="http://schemas.microsoft.com/office/drawing/2014/main" id="{2C9D12E9-A751-4922-91FE-72F3E3378E33}"/>
            </a:ext>
          </a:extLst>
        </xdr:cNvPr>
        <xdr:cNvSpPr/>
      </xdr:nvSpPr>
      <xdr:spPr>
        <a:xfrm>
          <a:off x="2540000" y="1279072"/>
          <a:ext cx="1455165" cy="47531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Run</a:t>
          </a:r>
          <a:r>
            <a:rPr lang="en-GB" sz="1200" baseline="0"/>
            <a:t> Stress Test</a:t>
          </a:r>
          <a:endParaRPr lang="en-GB" sz="1200"/>
        </a:p>
      </xdr:txBody>
    </xdr:sp>
    <xdr:clientData/>
  </xdr:twoCellAnchor>
  <xdr:twoCellAnchor>
    <xdr:from>
      <xdr:col>4</xdr:col>
      <xdr:colOff>215904</xdr:colOff>
      <xdr:row>4</xdr:row>
      <xdr:rowOff>188689</xdr:rowOff>
    </xdr:from>
    <xdr:to>
      <xdr:col>5</xdr:col>
      <xdr:colOff>664140</xdr:colOff>
      <xdr:row>7</xdr:row>
      <xdr:rowOff>101576</xdr:rowOff>
    </xdr:to>
    <xdr:sp macro="[0]!delete_results_power" textlink="">
      <xdr:nvSpPr>
        <xdr:cNvPr id="7" name="Rounded Rectangle 1">
          <a:extLst>
            <a:ext uri="{FF2B5EF4-FFF2-40B4-BE49-F238E27FC236}">
              <a16:creationId xmlns:a16="http://schemas.microsoft.com/office/drawing/2014/main" id="{B97E0C6E-76A8-4BE2-82A2-83476DB2BF39}"/>
            </a:ext>
          </a:extLst>
        </xdr:cNvPr>
        <xdr:cNvSpPr/>
      </xdr:nvSpPr>
      <xdr:spPr>
        <a:xfrm>
          <a:off x="4243618" y="1268189"/>
          <a:ext cx="1455165" cy="47531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CVaR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C27175-ABA6-40E0-AB90-8FF744B03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11</xdr:col>
      <xdr:colOff>190500</xdr:colOff>
      <xdr:row>0</xdr:row>
      <xdr:rowOff>139700</xdr:rowOff>
    </xdr:from>
    <xdr:to>
      <xdr:col>19</xdr:col>
      <xdr:colOff>476250</xdr:colOff>
      <xdr:row>7</xdr:row>
      <xdr:rowOff>120650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E4EA1EA-9558-4475-B0B3-DCD6DBEBAA69}"/>
            </a:ext>
          </a:extLst>
        </xdr:cNvPr>
        <xdr:cNvSpPr txBox="1"/>
      </xdr:nvSpPr>
      <xdr:spPr>
        <a:xfrm>
          <a:off x="11499850" y="139700"/>
          <a:ext cx="8020050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436691</xdr:colOff>
      <xdr:row>4</xdr:row>
      <xdr:rowOff>100089</xdr:rowOff>
    </xdr:to>
    <xdr:sp macro="[0]!Value_Black_Collar" textlink="">
      <xdr:nvSpPr>
        <xdr:cNvPr id="5" name="Rounded Rectangle 1">
          <a:extLst>
            <a:ext uri="{FF2B5EF4-FFF2-40B4-BE49-F238E27FC236}">
              <a16:creationId xmlns:a16="http://schemas.microsoft.com/office/drawing/2014/main" id="{A5F82A61-CA8D-42DF-BB2E-ABE394529F91}"/>
            </a:ext>
          </a:extLst>
        </xdr:cNvPr>
        <xdr:cNvSpPr/>
      </xdr:nvSpPr>
      <xdr:spPr>
        <a:xfrm>
          <a:off x="5080000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371928</xdr:colOff>
      <xdr:row>2</xdr:row>
      <xdr:rowOff>0</xdr:rowOff>
    </xdr:from>
    <xdr:to>
      <xdr:col>4</xdr:col>
      <xdr:colOff>808619</xdr:colOff>
      <xdr:row>4</xdr:row>
      <xdr:rowOff>100089</xdr:rowOff>
    </xdr:to>
    <xdr:sp macro="[0]!delete_results_power" textlink="">
      <xdr:nvSpPr>
        <xdr:cNvPr id="6" name="Rounded Rectangle 1">
          <a:extLst>
            <a:ext uri="{FF2B5EF4-FFF2-40B4-BE49-F238E27FC236}">
              <a16:creationId xmlns:a16="http://schemas.microsoft.com/office/drawing/2014/main" id="{3EBC1982-F81D-4F64-819F-21BCB1BECBCE}"/>
            </a:ext>
          </a:extLst>
        </xdr:cNvPr>
        <xdr:cNvSpPr/>
      </xdr:nvSpPr>
      <xdr:spPr>
        <a:xfrm>
          <a:off x="3392714" y="698500"/>
          <a:ext cx="1443619" cy="4720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3387E9-583E-4FE5-BDF3-6507964B5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12</xdr:col>
      <xdr:colOff>138545</xdr:colOff>
      <xdr:row>0</xdr:row>
      <xdr:rowOff>0</xdr:rowOff>
    </xdr:from>
    <xdr:to>
      <xdr:col>22</xdr:col>
      <xdr:colOff>353868</xdr:colOff>
      <xdr:row>7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389E074-664B-4F85-A9AF-B42ECF3B5F35}"/>
            </a:ext>
          </a:extLst>
        </xdr:cNvPr>
        <xdr:cNvSpPr txBox="1"/>
      </xdr:nvSpPr>
      <xdr:spPr>
        <a:xfrm>
          <a:off x="12660745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357316</xdr:colOff>
      <xdr:row>4</xdr:row>
      <xdr:rowOff>100089</xdr:rowOff>
    </xdr:to>
    <xdr:sp macro="[0]!Value_Asian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059DFC21-5D46-4109-96AB-67649155EE6E}"/>
            </a:ext>
          </a:extLst>
        </xdr:cNvPr>
        <xdr:cNvSpPr/>
      </xdr:nvSpPr>
      <xdr:spPr>
        <a:xfrm>
          <a:off x="5191125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436691</xdr:colOff>
      <xdr:row>4</xdr:row>
      <xdr:rowOff>100089</xdr:rowOff>
    </xdr:to>
    <xdr:sp macro="[0]!delete_results_power" textlink="">
      <xdr:nvSpPr>
        <xdr:cNvPr id="5" name="Rounded Rectangle 1">
          <a:extLst>
            <a:ext uri="{FF2B5EF4-FFF2-40B4-BE49-F238E27FC236}">
              <a16:creationId xmlns:a16="http://schemas.microsoft.com/office/drawing/2014/main" id="{121A1541-BE4F-4282-94EA-FB7832CF66B3}"/>
            </a:ext>
          </a:extLst>
        </xdr:cNvPr>
        <xdr:cNvSpPr/>
      </xdr:nvSpPr>
      <xdr:spPr>
        <a:xfrm>
          <a:off x="3048000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5DEAAE-1CEA-4FE8-9D2C-367E22BE6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Asian" textlink="">
      <xdr:nvSpPr>
        <xdr:cNvPr id="3" name="Rounded Rectangle 1">
          <a:extLst>
            <a:ext uri="{FF2B5EF4-FFF2-40B4-BE49-F238E27FC236}">
              <a16:creationId xmlns:a16="http://schemas.microsoft.com/office/drawing/2014/main" id="{84407CE3-EAF0-45DF-A8B1-D193C142952C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242449</xdr:colOff>
      <xdr:row>2</xdr:row>
      <xdr:rowOff>0</xdr:rowOff>
    </xdr:from>
    <xdr:to>
      <xdr:col>3</xdr:col>
      <xdr:colOff>690685</xdr:colOff>
      <xdr:row>4</xdr:row>
      <xdr:rowOff>100089</xdr:rowOff>
    </xdr:to>
    <xdr:sp macro="[0]!delete_results_power" textlink="">
      <xdr:nvSpPr>
        <xdr:cNvPr id="4" name="Rounded Rectangle 1">
          <a:extLst>
            <a:ext uri="{FF2B5EF4-FFF2-40B4-BE49-F238E27FC236}">
              <a16:creationId xmlns:a16="http://schemas.microsoft.com/office/drawing/2014/main" id="{9B173B7C-64EF-4942-A018-83488734C767}"/>
            </a:ext>
          </a:extLst>
        </xdr:cNvPr>
        <xdr:cNvSpPr/>
      </xdr:nvSpPr>
      <xdr:spPr>
        <a:xfrm>
          <a:off x="225135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F1096A-67FF-4283-8707-F68A21145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11</xdr:col>
      <xdr:colOff>190500</xdr:colOff>
      <xdr:row>0</xdr:row>
      <xdr:rowOff>139700</xdr:rowOff>
    </xdr:from>
    <xdr:to>
      <xdr:col>19</xdr:col>
      <xdr:colOff>476250</xdr:colOff>
      <xdr:row>7</xdr:row>
      <xdr:rowOff>120650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1D6C682-E24C-4440-87DE-E6BF9BE8B681}"/>
            </a:ext>
          </a:extLst>
        </xdr:cNvPr>
        <xdr:cNvSpPr txBox="1"/>
      </xdr:nvSpPr>
      <xdr:spPr>
        <a:xfrm>
          <a:off x="11499850" y="139700"/>
          <a:ext cx="8020050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448237</xdr:colOff>
      <xdr:row>4</xdr:row>
      <xdr:rowOff>100089</xdr:rowOff>
    </xdr:to>
    <xdr:sp macro="[0]!Value_Asian_collar" textlink="">
      <xdr:nvSpPr>
        <xdr:cNvPr id="4" name="Rounded Rectangle 1">
          <a:extLst>
            <a:ext uri="{FF2B5EF4-FFF2-40B4-BE49-F238E27FC236}">
              <a16:creationId xmlns:a16="http://schemas.microsoft.com/office/drawing/2014/main" id="{F6A57255-9345-4AF9-B304-01BEBE21612D}"/>
            </a:ext>
          </a:extLst>
        </xdr:cNvPr>
        <xdr:cNvSpPr/>
      </xdr:nvSpPr>
      <xdr:spPr>
        <a:xfrm>
          <a:off x="5022273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448237</xdr:colOff>
      <xdr:row>4</xdr:row>
      <xdr:rowOff>100089</xdr:rowOff>
    </xdr:to>
    <xdr:sp macro="[0]!delete_results_power" textlink="">
      <xdr:nvSpPr>
        <xdr:cNvPr id="5" name="Rounded Rectangle 1">
          <a:extLst>
            <a:ext uri="{FF2B5EF4-FFF2-40B4-BE49-F238E27FC236}">
              <a16:creationId xmlns:a16="http://schemas.microsoft.com/office/drawing/2014/main" id="{7D9125F7-70F8-45FC-9278-D813748B9E28}"/>
            </a:ext>
          </a:extLst>
        </xdr:cNvPr>
        <xdr:cNvSpPr/>
      </xdr:nvSpPr>
      <xdr:spPr>
        <a:xfrm>
          <a:off x="3013364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6BB4D8-CF37-40C2-A4F1-D39C951F5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12</xdr:col>
      <xdr:colOff>138545</xdr:colOff>
      <xdr:row>0</xdr:row>
      <xdr:rowOff>0</xdr:rowOff>
    </xdr:from>
    <xdr:to>
      <xdr:col>22</xdr:col>
      <xdr:colOff>353868</xdr:colOff>
      <xdr:row>7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F46CA6C-95E3-4896-B434-F79057C99FC5}"/>
            </a:ext>
          </a:extLst>
        </xdr:cNvPr>
        <xdr:cNvSpPr txBox="1"/>
      </xdr:nvSpPr>
      <xdr:spPr>
        <a:xfrm>
          <a:off x="12660745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448236</xdr:colOff>
      <xdr:row>4</xdr:row>
      <xdr:rowOff>100089</xdr:rowOff>
    </xdr:to>
    <xdr:sp macro="[0]!Value_Asian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F4800B11-3DDC-4A4C-9509-97021FC883C6}"/>
            </a:ext>
          </a:extLst>
        </xdr:cNvPr>
        <xdr:cNvSpPr/>
      </xdr:nvSpPr>
      <xdr:spPr>
        <a:xfrm>
          <a:off x="6234545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332782</xdr:colOff>
      <xdr:row>4</xdr:row>
      <xdr:rowOff>100089</xdr:rowOff>
    </xdr:to>
    <xdr:sp macro="[0]!delete_results_power" textlink="">
      <xdr:nvSpPr>
        <xdr:cNvPr id="5" name="Rounded Rectangle 1">
          <a:extLst>
            <a:ext uri="{FF2B5EF4-FFF2-40B4-BE49-F238E27FC236}">
              <a16:creationId xmlns:a16="http://schemas.microsoft.com/office/drawing/2014/main" id="{AD834451-AFFF-4E96-81CF-348B4B3DD775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C11D4-1FC3-48BC-B5AD-28D5210C4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CleanSparkSpread" textlink="">
      <xdr:nvSpPr>
        <xdr:cNvPr id="3" name="Rounded Rectangle 1">
          <a:extLst>
            <a:ext uri="{FF2B5EF4-FFF2-40B4-BE49-F238E27FC236}">
              <a16:creationId xmlns:a16="http://schemas.microsoft.com/office/drawing/2014/main" id="{657522F4-DBB6-4252-9DAD-EE188C6934D2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196267</xdr:colOff>
      <xdr:row>2</xdr:row>
      <xdr:rowOff>0</xdr:rowOff>
    </xdr:from>
    <xdr:to>
      <xdr:col>3</xdr:col>
      <xdr:colOff>644503</xdr:colOff>
      <xdr:row>4</xdr:row>
      <xdr:rowOff>100089</xdr:rowOff>
    </xdr:to>
    <xdr:sp macro="[0]!delete_results_power" textlink="">
      <xdr:nvSpPr>
        <xdr:cNvPr id="4" name="Rounded Rectangle 1">
          <a:extLst>
            <a:ext uri="{FF2B5EF4-FFF2-40B4-BE49-F238E27FC236}">
              <a16:creationId xmlns:a16="http://schemas.microsoft.com/office/drawing/2014/main" id="{C18886C0-8DFF-4AAF-B3F7-82E458CE7C72}"/>
            </a:ext>
          </a:extLst>
        </xdr:cNvPr>
        <xdr:cNvSpPr/>
      </xdr:nvSpPr>
      <xdr:spPr>
        <a:xfrm>
          <a:off x="2205176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C16E61-093E-46B2-B5BC-C9FE04DE7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10</xdr:col>
      <xdr:colOff>357908</xdr:colOff>
      <xdr:row>0</xdr:row>
      <xdr:rowOff>80818</xdr:rowOff>
    </xdr:from>
    <xdr:to>
      <xdr:col>20</xdr:col>
      <xdr:colOff>515504</xdr:colOff>
      <xdr:row>7</xdr:row>
      <xdr:rowOff>32327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2C07BB9-A55C-4376-A7F1-0EF32DAC8B8E}"/>
            </a:ext>
          </a:extLst>
        </xdr:cNvPr>
        <xdr:cNvSpPr txBox="1"/>
      </xdr:nvSpPr>
      <xdr:spPr>
        <a:xfrm>
          <a:off x="10633363" y="80818"/>
          <a:ext cx="8020050" cy="16025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CSS_collar" textlink="">
      <xdr:nvSpPr>
        <xdr:cNvPr id="4" name="Rounded Rectangle 1">
          <a:extLst>
            <a:ext uri="{FF2B5EF4-FFF2-40B4-BE49-F238E27FC236}">
              <a16:creationId xmlns:a16="http://schemas.microsoft.com/office/drawing/2014/main" id="{FD7EAE2C-8613-42CB-BFDF-349536D59BD6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161634</xdr:colOff>
      <xdr:row>2</xdr:row>
      <xdr:rowOff>0</xdr:rowOff>
    </xdr:from>
    <xdr:to>
      <xdr:col>3</xdr:col>
      <xdr:colOff>609870</xdr:colOff>
      <xdr:row>4</xdr:row>
      <xdr:rowOff>100089</xdr:rowOff>
    </xdr:to>
    <xdr:sp macro="[0]!delete_results_power" textlink="">
      <xdr:nvSpPr>
        <xdr:cNvPr id="5" name="Rounded Rectangle 1">
          <a:extLst>
            <a:ext uri="{FF2B5EF4-FFF2-40B4-BE49-F238E27FC236}">
              <a16:creationId xmlns:a16="http://schemas.microsoft.com/office/drawing/2014/main" id="{82742A0B-5EA0-49BA-A56C-831440958AF7}"/>
            </a:ext>
          </a:extLst>
        </xdr:cNvPr>
        <xdr:cNvSpPr/>
      </xdr:nvSpPr>
      <xdr:spPr>
        <a:xfrm>
          <a:off x="2170543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347449-D803-4733-B109-301A06FF1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10</xdr:col>
      <xdr:colOff>184727</xdr:colOff>
      <xdr:row>0</xdr:row>
      <xdr:rowOff>0</xdr:rowOff>
    </xdr:from>
    <xdr:to>
      <xdr:col>19</xdr:col>
      <xdr:colOff>534555</xdr:colOff>
      <xdr:row>7</xdr:row>
      <xdr:rowOff>146050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74A887B-E43F-4F9A-A2D3-A1169E12170E}"/>
            </a:ext>
          </a:extLst>
        </xdr:cNvPr>
        <xdr:cNvSpPr txBox="1"/>
      </xdr:nvSpPr>
      <xdr:spPr>
        <a:xfrm>
          <a:off x="10460182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4</xdr:col>
      <xdr:colOff>346360</xdr:colOff>
      <xdr:row>2</xdr:row>
      <xdr:rowOff>0</xdr:rowOff>
    </xdr:from>
    <xdr:to>
      <xdr:col>5</xdr:col>
      <xdr:colOff>794596</xdr:colOff>
      <xdr:row>4</xdr:row>
      <xdr:rowOff>100089</xdr:rowOff>
    </xdr:to>
    <xdr:sp macro="[0]!Value_CSS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7E033367-84B2-43EB-A63C-70A85B6B2A96}"/>
            </a:ext>
          </a:extLst>
        </xdr:cNvPr>
        <xdr:cNvSpPr/>
      </xdr:nvSpPr>
      <xdr:spPr>
        <a:xfrm>
          <a:off x="436417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369443</xdr:colOff>
      <xdr:row>2</xdr:row>
      <xdr:rowOff>0</xdr:rowOff>
    </xdr:from>
    <xdr:to>
      <xdr:col>3</xdr:col>
      <xdr:colOff>817679</xdr:colOff>
      <xdr:row>4</xdr:row>
      <xdr:rowOff>100089</xdr:rowOff>
    </xdr:to>
    <xdr:sp macro="[0]!delete_results_power" textlink="">
      <xdr:nvSpPr>
        <xdr:cNvPr id="5" name="Rounded Rectangle 1">
          <a:extLst>
            <a:ext uri="{FF2B5EF4-FFF2-40B4-BE49-F238E27FC236}">
              <a16:creationId xmlns:a16="http://schemas.microsoft.com/office/drawing/2014/main" id="{BC7145E1-93E3-4E62-985D-D62FA3AC0120}"/>
            </a:ext>
          </a:extLst>
        </xdr:cNvPr>
        <xdr:cNvSpPr/>
      </xdr:nvSpPr>
      <xdr:spPr>
        <a:xfrm>
          <a:off x="2378352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FA54-57E1-49D6-BB07-C11EED4EDE4A}">
  <sheetPr codeName="Sheet7"/>
  <dimension ref="A2:A4"/>
  <sheetViews>
    <sheetView workbookViewId="0">
      <selection activeCell="K1" sqref="K1"/>
    </sheetView>
  </sheetViews>
  <sheetFormatPr defaultRowHeight="14.5" x14ac:dyDescent="0.35"/>
  <sheetData>
    <row r="2" spans="1:1" x14ac:dyDescent="0.35">
      <c r="A2" t="s">
        <v>47</v>
      </c>
    </row>
    <row r="3" spans="1:1" x14ac:dyDescent="0.35">
      <c r="A3" t="s">
        <v>49</v>
      </c>
    </row>
    <row r="4" spans="1:1" x14ac:dyDescent="0.35">
      <c r="A4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B8654-8F76-4847-B89B-B4A9938B940A}">
  <sheetPr codeName="Sheet8"/>
  <dimension ref="A1"/>
  <sheetViews>
    <sheetView workbookViewId="0">
      <selection activeCell="C15" sqref="C15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FEE1-D280-410D-B847-5225EF8C29A8}">
  <sheetPr codeName="Sheet1"/>
  <dimension ref="A1:X23"/>
  <sheetViews>
    <sheetView zoomScale="55" zoomScaleNormal="55" workbookViewId="0">
      <selection activeCell="E11" sqref="E11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7.363281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17" width="13.26953125" style="1" customWidth="1"/>
    <col min="18" max="24" width="15.54296875" style="1" customWidth="1"/>
    <col min="25" max="16384" width="8.7265625" style="1"/>
  </cols>
  <sheetData>
    <row r="1" spans="1:24" ht="40" customHeight="1" x14ac:dyDescent="0.35"/>
    <row r="2" spans="1:24" ht="15" thickBot="1" x14ac:dyDescent="0.4"/>
    <row r="3" spans="1:24" ht="15" thickBot="1" x14ac:dyDescent="0.4">
      <c r="A3" s="2" t="s">
        <v>0</v>
      </c>
      <c r="B3" s="3">
        <v>43811</v>
      </c>
      <c r="G3" s="4"/>
      <c r="H3" s="5"/>
      <c r="I3" s="5"/>
      <c r="J3" s="6"/>
    </row>
    <row r="4" spans="1:24" ht="15" thickBot="1" x14ac:dyDescent="0.4">
      <c r="G4" s="7"/>
      <c r="H4" s="8"/>
      <c r="I4" s="8"/>
      <c r="J4" s="9"/>
    </row>
    <row r="5" spans="1:24" ht="15" thickBot="1" x14ac:dyDescent="0.4">
      <c r="A5" s="2" t="s">
        <v>46</v>
      </c>
      <c r="B5" s="3" t="s">
        <v>49</v>
      </c>
      <c r="G5" s="7" t="s">
        <v>24</v>
      </c>
      <c r="H5" s="8"/>
      <c r="I5" s="8" t="s">
        <v>9</v>
      </c>
      <c r="J5" s="11">
        <v>1</v>
      </c>
    </row>
    <row r="6" spans="1:24" x14ac:dyDescent="0.35">
      <c r="B6" s="10"/>
      <c r="G6" s="7" t="s">
        <v>3</v>
      </c>
      <c r="H6" s="8"/>
      <c r="I6" s="8" t="s">
        <v>4</v>
      </c>
      <c r="J6" s="11">
        <v>0.35</v>
      </c>
    </row>
    <row r="7" spans="1:24" ht="15" thickBot="1" x14ac:dyDescent="0.4">
      <c r="G7" s="12" t="s">
        <v>5</v>
      </c>
      <c r="H7" s="13"/>
      <c r="I7" s="13" t="s">
        <v>6</v>
      </c>
      <c r="J7" s="14">
        <v>0.65</v>
      </c>
    </row>
    <row r="8" spans="1:2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24" ht="14.5" customHeight="1" x14ac:dyDescent="0.35">
      <c r="A9" s="26" t="s">
        <v>7</v>
      </c>
      <c r="B9" s="26" t="s">
        <v>8</v>
      </c>
      <c r="C9" s="33" t="s">
        <v>14</v>
      </c>
      <c r="D9" s="37" t="s">
        <v>31</v>
      </c>
      <c r="E9" s="38" t="s">
        <v>10</v>
      </c>
      <c r="F9" s="17" t="s">
        <v>13</v>
      </c>
      <c r="G9" s="27" t="s">
        <v>19</v>
      </c>
      <c r="H9" s="27" t="s">
        <v>20</v>
      </c>
      <c r="I9" s="27" t="s">
        <v>21</v>
      </c>
      <c r="J9" s="27" t="s">
        <v>22</v>
      </c>
      <c r="K9" s="27" t="s">
        <v>23</v>
      </c>
      <c r="L9" s="27" t="s">
        <v>25</v>
      </c>
      <c r="M9" s="27" t="s">
        <v>26</v>
      </c>
      <c r="N9" s="27" t="s">
        <v>27</v>
      </c>
      <c r="O9" s="27" t="s">
        <v>28</v>
      </c>
      <c r="P9" s="27" t="s">
        <v>29</v>
      </c>
      <c r="Q9" s="27" t="s">
        <v>30</v>
      </c>
      <c r="R9" s="27" t="s">
        <v>44</v>
      </c>
      <c r="S9" s="27" t="s">
        <v>41</v>
      </c>
      <c r="T9" s="27" t="s">
        <v>43</v>
      </c>
      <c r="U9" s="27" t="s">
        <v>43</v>
      </c>
      <c r="V9" s="27" t="s">
        <v>42</v>
      </c>
      <c r="W9" s="27" t="s">
        <v>45</v>
      </c>
      <c r="X9" s="27" t="s">
        <v>50</v>
      </c>
    </row>
    <row r="10" spans="1:24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0">
        <v>0.35</v>
      </c>
      <c r="F10" s="23">
        <f>(B10-$B$3)/365</f>
        <v>3.0136986301369864E-2</v>
      </c>
      <c r="G10" s="28">
        <f t="shared" ref="G10:G21" si="0">DAY(EOMONTH(B10,0))</f>
        <v>31</v>
      </c>
      <c r="H10" s="29" t="s">
        <v>9</v>
      </c>
      <c r="I10" s="30">
        <v>1</v>
      </c>
      <c r="J10" s="31">
        <v>0</v>
      </c>
      <c r="K10" s="1">
        <v>1</v>
      </c>
      <c r="L10" s="32">
        <v>0.30659208897466961</v>
      </c>
      <c r="M10" s="32">
        <v>-2.2000000000000028</v>
      </c>
      <c r="N10" s="32">
        <v>2.5065920889746724</v>
      </c>
      <c r="O10" s="32"/>
      <c r="P10" s="32"/>
      <c r="Q10" s="32"/>
      <c r="R10" s="32"/>
    </row>
    <row r="11" spans="1:24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0">
        <f>20%+(E10-20%)*0.95</f>
        <v>0.34249999999999997</v>
      </c>
      <c r="F11" s="23">
        <f>(B11-$B$3)/365</f>
        <v>0.11506849315068493</v>
      </c>
      <c r="G11" s="28">
        <f t="shared" si="0"/>
        <v>31</v>
      </c>
      <c r="H11" s="29" t="s">
        <v>9</v>
      </c>
      <c r="I11" s="30">
        <v>1</v>
      </c>
      <c r="J11" s="31">
        <v>0</v>
      </c>
      <c r="K11" s="1">
        <v>1</v>
      </c>
      <c r="L11" s="32">
        <v>2.4981571281570432</v>
      </c>
      <c r="M11" s="32">
        <v>0.75</v>
      </c>
      <c r="N11" s="32">
        <v>1.7481571281570432</v>
      </c>
      <c r="O11" s="32"/>
      <c r="P11" s="32"/>
      <c r="Q11" s="32"/>
      <c r="R11" s="32"/>
    </row>
    <row r="12" spans="1:24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0">
        <f t="shared" ref="E12:E21" si="2">20%+(E11-20%)*0.95</f>
        <v>0.33537499999999998</v>
      </c>
      <c r="F12" s="23">
        <f t="shared" ref="F12:F21" si="3">(B12-$B$3)/365</f>
        <v>0.19178082191780821</v>
      </c>
      <c r="G12" s="28">
        <f t="shared" si="0"/>
        <v>29</v>
      </c>
      <c r="H12" s="29" t="s">
        <v>9</v>
      </c>
      <c r="I12" s="30">
        <v>1</v>
      </c>
      <c r="J12" s="31">
        <v>0</v>
      </c>
      <c r="K12" s="1">
        <v>1</v>
      </c>
      <c r="L12" s="32">
        <v>1.2874771742439801</v>
      </c>
      <c r="M12" s="32">
        <v>-3.1000000000000014</v>
      </c>
      <c r="N12" s="32">
        <v>4.3874771742439815</v>
      </c>
      <c r="O12" s="32"/>
      <c r="P12" s="32"/>
      <c r="Q12" s="32"/>
      <c r="R12" s="32"/>
    </row>
    <row r="13" spans="1:24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0">
        <f t="shared" si="2"/>
        <v>0.32860624999999999</v>
      </c>
      <c r="F13" s="23">
        <f t="shared" si="3"/>
        <v>0.27945205479452057</v>
      </c>
      <c r="G13" s="28">
        <f t="shared" si="0"/>
        <v>31</v>
      </c>
      <c r="H13" s="29" t="s">
        <v>9</v>
      </c>
      <c r="I13" s="30">
        <v>1</v>
      </c>
      <c r="J13" s="31">
        <v>0</v>
      </c>
      <c r="K13" s="1">
        <v>1</v>
      </c>
      <c r="L13" s="32">
        <v>1.0226367095337494</v>
      </c>
      <c r="M13" s="32">
        <v>-5.25</v>
      </c>
      <c r="N13" s="32">
        <v>6.2726367095337494</v>
      </c>
      <c r="O13" s="32"/>
      <c r="P13" s="32"/>
      <c r="Q13" s="32"/>
      <c r="R13" s="32"/>
    </row>
    <row r="14" spans="1:24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0">
        <f t="shared" si="2"/>
        <v>0.32217593749999995</v>
      </c>
      <c r="F14" s="23">
        <f t="shared" si="3"/>
        <v>0.36164383561643837</v>
      </c>
      <c r="G14" s="28">
        <f t="shared" si="0"/>
        <v>30</v>
      </c>
      <c r="H14" s="29" t="s">
        <v>9</v>
      </c>
      <c r="I14" s="30">
        <v>1</v>
      </c>
      <c r="J14" s="31">
        <v>0</v>
      </c>
      <c r="K14" s="1">
        <v>1</v>
      </c>
      <c r="L14" s="32">
        <v>1.2904818593643768</v>
      </c>
      <c r="M14" s="32">
        <v>-5.25</v>
      </c>
      <c r="N14" s="32">
        <v>6.5404818593643768</v>
      </c>
      <c r="O14" s="32"/>
      <c r="P14" s="32"/>
      <c r="Q14" s="32"/>
      <c r="R14" s="32"/>
    </row>
    <row r="15" spans="1:24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0">
        <f>20%+(E14-20%)*0.95</f>
        <v>0.31606714062499996</v>
      </c>
      <c r="F15" s="23">
        <f t="shared" si="3"/>
        <v>0.44109589041095892</v>
      </c>
      <c r="G15" s="28">
        <f t="shared" si="0"/>
        <v>31</v>
      </c>
      <c r="H15" s="29" t="s">
        <v>9</v>
      </c>
      <c r="I15" s="30">
        <v>1</v>
      </c>
      <c r="J15" s="31">
        <v>0</v>
      </c>
      <c r="K15" s="1">
        <v>1</v>
      </c>
      <c r="L15" s="32">
        <v>1.5151422182784557</v>
      </c>
      <c r="M15" s="32">
        <v>-5.25</v>
      </c>
      <c r="N15" s="32">
        <v>6.7651422182784557</v>
      </c>
      <c r="O15" s="32"/>
      <c r="P15" s="32"/>
      <c r="Q15" s="32"/>
      <c r="R15" s="32"/>
    </row>
    <row r="16" spans="1:24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0">
        <f t="shared" si="2"/>
        <v>0.31026378359374995</v>
      </c>
      <c r="F16" s="23">
        <f t="shared" si="3"/>
        <v>0.52876712328767128</v>
      </c>
      <c r="G16" s="28">
        <f t="shared" si="0"/>
        <v>30</v>
      </c>
      <c r="H16" s="29" t="s">
        <v>9</v>
      </c>
      <c r="I16" s="30">
        <v>1</v>
      </c>
      <c r="J16" s="31">
        <v>0</v>
      </c>
      <c r="K16" s="1">
        <v>1</v>
      </c>
      <c r="L16" s="32">
        <v>3.0781758184662245</v>
      </c>
      <c r="M16" s="32">
        <v>-1.8999999999999986</v>
      </c>
      <c r="N16" s="32">
        <v>4.978175818466223</v>
      </c>
      <c r="O16" s="32"/>
      <c r="P16" s="32"/>
      <c r="Q16" s="32"/>
      <c r="R16" s="32"/>
    </row>
    <row r="17" spans="1:18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0">
        <f t="shared" si="2"/>
        <v>0.30475059441406244</v>
      </c>
      <c r="F17" s="23">
        <f t="shared" si="3"/>
        <v>0.61369863013698633</v>
      </c>
      <c r="G17" s="28">
        <f t="shared" si="0"/>
        <v>31</v>
      </c>
      <c r="H17" s="29" t="s">
        <v>9</v>
      </c>
      <c r="I17" s="30">
        <v>1</v>
      </c>
      <c r="J17" s="31">
        <v>0</v>
      </c>
      <c r="K17" s="1">
        <v>1</v>
      </c>
      <c r="L17" s="32">
        <v>3.3033139746544222</v>
      </c>
      <c r="M17" s="32">
        <v>-1.8999999999999986</v>
      </c>
      <c r="N17" s="32">
        <v>5.2033139746544208</v>
      </c>
      <c r="O17" s="32"/>
      <c r="P17" s="32"/>
      <c r="Q17" s="32"/>
      <c r="R17" s="32"/>
    </row>
    <row r="18" spans="1:18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0">
        <f t="shared" si="2"/>
        <v>0.29951306469335931</v>
      </c>
      <c r="F18" s="23">
        <f t="shared" si="3"/>
        <v>0.69315068493150689</v>
      </c>
      <c r="G18" s="28">
        <f t="shared" si="0"/>
        <v>31</v>
      </c>
      <c r="H18" s="29" t="s">
        <v>9</v>
      </c>
      <c r="I18" s="30">
        <v>1</v>
      </c>
      <c r="J18" s="31">
        <v>0</v>
      </c>
      <c r="K18" s="1">
        <v>1</v>
      </c>
      <c r="L18" s="32">
        <v>3.4857001904894105</v>
      </c>
      <c r="M18" s="32">
        <v>-1.8999999999999986</v>
      </c>
      <c r="N18" s="32">
        <v>5.3857001904894091</v>
      </c>
      <c r="O18" s="32"/>
      <c r="P18" s="32"/>
      <c r="Q18" s="32"/>
      <c r="R18" s="32"/>
    </row>
    <row r="19" spans="1:18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0">
        <f t="shared" si="2"/>
        <v>0.29453741145869133</v>
      </c>
      <c r="F19" s="23">
        <f t="shared" si="3"/>
        <v>0.78082191780821919</v>
      </c>
      <c r="G19" s="28">
        <f t="shared" si="0"/>
        <v>30</v>
      </c>
      <c r="H19" s="29" t="s">
        <v>9</v>
      </c>
      <c r="I19" s="30">
        <v>1</v>
      </c>
      <c r="J19" s="31">
        <v>0</v>
      </c>
      <c r="K19" s="1">
        <v>1</v>
      </c>
      <c r="L19" s="32">
        <v>6.9546666185615855</v>
      </c>
      <c r="M19" s="32">
        <v>3.75</v>
      </c>
      <c r="N19" s="32">
        <v>3.2046666185615855</v>
      </c>
      <c r="O19" s="32"/>
      <c r="P19" s="32"/>
      <c r="Q19" s="32"/>
      <c r="R19" s="32"/>
    </row>
    <row r="20" spans="1:18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0">
        <f t="shared" si="2"/>
        <v>0.28981054088575675</v>
      </c>
      <c r="F20" s="23">
        <f t="shared" si="3"/>
        <v>0.86301369863013699</v>
      </c>
      <c r="G20" s="28">
        <f t="shared" si="0"/>
        <v>31</v>
      </c>
      <c r="H20" s="29" t="s">
        <v>9</v>
      </c>
      <c r="I20" s="30">
        <v>1</v>
      </c>
      <c r="J20" s="31">
        <v>0</v>
      </c>
      <c r="K20" s="1">
        <v>1</v>
      </c>
      <c r="L20" s="32">
        <v>7.1132877769238547</v>
      </c>
      <c r="M20" s="32">
        <v>3.75</v>
      </c>
      <c r="N20" s="32">
        <v>3.3632877769238547</v>
      </c>
      <c r="O20" s="32"/>
      <c r="P20" s="32"/>
      <c r="Q20" s="32"/>
      <c r="R20" s="32"/>
    </row>
    <row r="21" spans="1:18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0">
        <f t="shared" si="2"/>
        <v>0.28532001384146888</v>
      </c>
      <c r="F21" s="23">
        <f t="shared" si="3"/>
        <v>0.94246575342465755</v>
      </c>
      <c r="G21" s="28">
        <f t="shared" si="0"/>
        <v>30</v>
      </c>
      <c r="H21" s="29" t="s">
        <v>9</v>
      </c>
      <c r="I21" s="30">
        <v>1</v>
      </c>
      <c r="J21" s="31">
        <v>0</v>
      </c>
      <c r="K21" s="1">
        <v>1</v>
      </c>
      <c r="L21" s="32">
        <v>7.2509163417181135</v>
      </c>
      <c r="M21" s="32">
        <v>3.75</v>
      </c>
      <c r="N21" s="32">
        <v>3.5009163417181135</v>
      </c>
      <c r="O21" s="32"/>
      <c r="P21" s="32"/>
      <c r="Q21" s="32"/>
      <c r="R21" s="32"/>
    </row>
    <row r="22" spans="1:18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43"/>
      <c r="M22" s="24"/>
      <c r="N22" s="25"/>
    </row>
    <row r="23" spans="1:18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H10:H21" xr:uid="{B679867A-5CFA-45F9-A6A3-07FB84D4FCE6}">
      <formula1>$I$5:$I$7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1ED810-E2C7-4158-97CC-C0B210720DCA}">
          <x14:formula1>
            <xm:f>Legend!$A$2:$A$4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B4E-ED9D-4519-BE5B-AC28374DB39C}">
  <sheetPr codeName="Sheet2"/>
  <dimension ref="A1:AG23"/>
  <sheetViews>
    <sheetView topLeftCell="F1" zoomScale="70" zoomScaleNormal="70" workbookViewId="0">
      <selection activeCell="Q9" sqref="Q9"/>
    </sheetView>
  </sheetViews>
  <sheetFormatPr defaultRowHeight="14.5" x14ac:dyDescent="0.35"/>
  <cols>
    <col min="1" max="7" width="14.453125" style="1" customWidth="1"/>
    <col min="8" max="11" width="15.1796875" style="1" customWidth="1"/>
    <col min="12" max="12" width="7.36328125" style="1" bestFit="1" customWidth="1"/>
    <col min="13" max="13" width="7.36328125" style="1" customWidth="1"/>
    <col min="14" max="14" width="10.7265625" style="1" bestFit="1" customWidth="1"/>
    <col min="15" max="15" width="10.7265625" style="1" customWidth="1"/>
    <col min="16" max="16" width="18.54296875" style="1" bestFit="1" customWidth="1"/>
    <col min="17" max="17" width="18.08984375" style="1" bestFit="1" customWidth="1"/>
    <col min="18" max="18" width="19.1796875" style="1" bestFit="1" customWidth="1"/>
    <col min="19" max="19" width="18.7265625" style="1" bestFit="1" customWidth="1"/>
    <col min="20" max="20" width="14.90625" style="1" bestFit="1" customWidth="1"/>
    <col min="21" max="21" width="14.453125" style="1" bestFit="1" customWidth="1"/>
    <col min="22" max="22" width="13.7265625" style="1" bestFit="1" customWidth="1"/>
    <col min="23" max="23" width="13.26953125" style="1" customWidth="1"/>
    <col min="24" max="24" width="17.81640625" style="1" bestFit="1" customWidth="1"/>
    <col min="25" max="25" width="17.36328125" style="1" bestFit="1" customWidth="1"/>
    <col min="26" max="26" width="14.453125" style="1" customWidth="1"/>
    <col min="27" max="27" width="10.6328125" style="1" bestFit="1" customWidth="1"/>
    <col min="28" max="28" width="12.1796875" style="1" bestFit="1" customWidth="1"/>
    <col min="29" max="29" width="11.81640625" style="1" customWidth="1"/>
    <col min="30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H3" s="4"/>
      <c r="I3" s="5"/>
      <c r="J3" s="5"/>
      <c r="K3" s="6"/>
    </row>
    <row r="4" spans="1:33" x14ac:dyDescent="0.35">
      <c r="H4" s="7"/>
      <c r="I4" s="8"/>
      <c r="J4" s="8"/>
      <c r="K4" s="9"/>
    </row>
    <row r="5" spans="1:33" x14ac:dyDescent="0.35">
      <c r="H5" s="7" t="s">
        <v>24</v>
      </c>
      <c r="I5" s="8"/>
      <c r="J5" s="8" t="s">
        <v>9</v>
      </c>
      <c r="K5" s="11">
        <v>1</v>
      </c>
    </row>
    <row r="6" spans="1:33" x14ac:dyDescent="0.35">
      <c r="B6" s="10"/>
      <c r="H6" s="7" t="s">
        <v>3</v>
      </c>
      <c r="I6" s="8"/>
      <c r="J6" s="8" t="s">
        <v>4</v>
      </c>
      <c r="K6" s="11">
        <v>0.35</v>
      </c>
    </row>
    <row r="7" spans="1:33" ht="15" thickBot="1" x14ac:dyDescent="0.4">
      <c r="H7" s="12" t="s">
        <v>5</v>
      </c>
      <c r="I7" s="13"/>
      <c r="J7" s="13" t="s">
        <v>6</v>
      </c>
      <c r="K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8" t="s">
        <v>10</v>
      </c>
      <c r="G9" s="17" t="s">
        <v>13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53</v>
      </c>
      <c r="M9" s="27" t="s">
        <v>54</v>
      </c>
      <c r="N9" s="27" t="s">
        <v>55</v>
      </c>
      <c r="O9" s="27" t="s">
        <v>56</v>
      </c>
      <c r="P9" s="27" t="s">
        <v>57</v>
      </c>
      <c r="Q9" s="27" t="s">
        <v>58</v>
      </c>
      <c r="R9" s="27" t="s">
        <v>59</v>
      </c>
      <c r="S9" s="27" t="s">
        <v>60</v>
      </c>
      <c r="T9" s="27" t="s">
        <v>61</v>
      </c>
      <c r="U9" s="27" t="s">
        <v>62</v>
      </c>
      <c r="V9" s="27" t="s">
        <v>63</v>
      </c>
      <c r="W9" s="27" t="s">
        <v>64</v>
      </c>
      <c r="X9" s="27" t="s">
        <v>65</v>
      </c>
      <c r="Y9" s="27" t="s">
        <v>66</v>
      </c>
      <c r="Z9" s="27" t="s">
        <v>32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0">
        <v>0.35</v>
      </c>
      <c r="G10" s="23">
        <f>(B10-$B$3)/365</f>
        <v>3.0136986301369864E-2</v>
      </c>
      <c r="H10" s="28">
        <f t="shared" ref="H10:H21" si="0">DAY(EOMONTH(B10,0))</f>
        <v>31</v>
      </c>
      <c r="I10" s="29" t="s">
        <v>9</v>
      </c>
      <c r="J10" s="30">
        <v>1</v>
      </c>
      <c r="K10" s="31">
        <v>0</v>
      </c>
      <c r="L10" s="1">
        <v>1</v>
      </c>
      <c r="M10" s="1">
        <v>-1</v>
      </c>
      <c r="N10" s="32">
        <v>0.30659208897466961</v>
      </c>
      <c r="O10" s="32">
        <v>0.16789259319931293</v>
      </c>
      <c r="P10" s="32">
        <v>-2.2000000000000028</v>
      </c>
      <c r="Q10" s="32">
        <v>2.7999999999999972</v>
      </c>
      <c r="R10" s="32">
        <v>2.5065920889746724</v>
      </c>
      <c r="S10" s="32">
        <v>-2.6321074068006842</v>
      </c>
      <c r="T10" s="32"/>
      <c r="U10" s="32"/>
      <c r="V10" s="32"/>
      <c r="W10" s="32"/>
      <c r="X10" s="32"/>
      <c r="Y10" s="32"/>
      <c r="Z10" s="32"/>
    </row>
    <row r="11" spans="1:33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0">
        <f>20%+(F10-20%)*0.95</f>
        <v>0.34249999999999997</v>
      </c>
      <c r="G11" s="23">
        <f t="shared" ref="G11:G21" si="2">(B11-$B$3)/365</f>
        <v>0.11506849315068493</v>
      </c>
      <c r="H11" s="28">
        <f t="shared" si="0"/>
        <v>31</v>
      </c>
      <c r="I11" s="29" t="s">
        <v>9</v>
      </c>
      <c r="J11" s="30">
        <v>1</v>
      </c>
      <c r="K11" s="31">
        <v>0</v>
      </c>
      <c r="L11" s="1">
        <v>1</v>
      </c>
      <c r="M11" s="1">
        <v>-1</v>
      </c>
      <c r="N11" s="32">
        <v>2.4981571281570432</v>
      </c>
      <c r="O11" s="32">
        <v>0.30457507903773351</v>
      </c>
      <c r="P11" s="32">
        <v>0.75</v>
      </c>
      <c r="Q11" s="32">
        <v>5.75</v>
      </c>
      <c r="R11" s="32">
        <v>1.7481571281570432</v>
      </c>
      <c r="S11" s="32">
        <v>-5.4454249209622665</v>
      </c>
      <c r="T11" s="32"/>
      <c r="U11" s="32"/>
      <c r="V11" s="32"/>
      <c r="W11" s="32"/>
      <c r="X11" s="32"/>
      <c r="Y11" s="32"/>
      <c r="Z11" s="32"/>
    </row>
    <row r="12" spans="1:33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0">
        <f t="shared" ref="F12:F21" si="3">20%+(F11-20%)*0.95</f>
        <v>0.33537499999999998</v>
      </c>
      <c r="G12" s="23">
        <f t="shared" si="2"/>
        <v>0.19178082191780821</v>
      </c>
      <c r="H12" s="28">
        <f t="shared" si="0"/>
        <v>29</v>
      </c>
      <c r="I12" s="29" t="s">
        <v>9</v>
      </c>
      <c r="J12" s="30">
        <v>1</v>
      </c>
      <c r="K12" s="31">
        <v>0</v>
      </c>
      <c r="L12" s="1">
        <v>1</v>
      </c>
      <c r="M12" s="1">
        <v>-1</v>
      </c>
      <c r="N12" s="32">
        <v>1.2874771742439801</v>
      </c>
      <c r="O12" s="32">
        <v>1.5656545160049546</v>
      </c>
      <c r="P12" s="32">
        <v>-3.1000000000000014</v>
      </c>
      <c r="Q12" s="32">
        <v>1.8999999999999986</v>
      </c>
      <c r="R12" s="32">
        <v>4.3874771742439815</v>
      </c>
      <c r="S12" s="32">
        <v>-0.33434548399504394</v>
      </c>
      <c r="T12" s="32"/>
      <c r="U12" s="32"/>
      <c r="V12" s="32"/>
      <c r="W12" s="32"/>
      <c r="X12" s="32"/>
      <c r="Y12" s="32"/>
      <c r="Z12" s="32"/>
    </row>
    <row r="13" spans="1:33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0">
        <f t="shared" si="3"/>
        <v>0.32860624999999999</v>
      </c>
      <c r="G13" s="23">
        <f t="shared" si="2"/>
        <v>0.27945205479452057</v>
      </c>
      <c r="H13" s="28">
        <f t="shared" si="0"/>
        <v>31</v>
      </c>
      <c r="I13" s="29" t="s">
        <v>9</v>
      </c>
      <c r="J13" s="30">
        <v>1</v>
      </c>
      <c r="K13" s="31">
        <v>0</v>
      </c>
      <c r="L13" s="1">
        <v>1</v>
      </c>
      <c r="M13" s="1">
        <v>-1</v>
      </c>
      <c r="N13" s="32">
        <v>1.0226367095337494</v>
      </c>
      <c r="O13" s="32">
        <v>2.8866999331369065</v>
      </c>
      <c r="P13" s="32">
        <v>-5.25</v>
      </c>
      <c r="Q13" s="32">
        <v>-0.25</v>
      </c>
      <c r="R13" s="32">
        <v>6.2726367095337494</v>
      </c>
      <c r="S13" s="32">
        <v>3.1366999331369065</v>
      </c>
      <c r="T13" s="32"/>
      <c r="U13" s="32"/>
      <c r="V13" s="32"/>
      <c r="W13" s="32"/>
      <c r="X13" s="32"/>
      <c r="Y13" s="32"/>
      <c r="Z13" s="32"/>
    </row>
    <row r="14" spans="1:33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0">
        <f t="shared" si="3"/>
        <v>0.32217593749999995</v>
      </c>
      <c r="G14" s="23">
        <f t="shared" si="2"/>
        <v>0.36164383561643837</v>
      </c>
      <c r="H14" s="28">
        <f t="shared" si="0"/>
        <v>30</v>
      </c>
      <c r="I14" s="29" t="s">
        <v>9</v>
      </c>
      <c r="J14" s="30">
        <v>1</v>
      </c>
      <c r="K14" s="31">
        <v>0</v>
      </c>
      <c r="L14" s="1">
        <v>1</v>
      </c>
      <c r="M14" s="1">
        <v>-1</v>
      </c>
      <c r="N14" s="32">
        <v>1.2904818593643768</v>
      </c>
      <c r="O14" s="32">
        <v>3.203875676036489</v>
      </c>
      <c r="P14" s="32">
        <v>-5.25</v>
      </c>
      <c r="Q14" s="32">
        <v>-0.25</v>
      </c>
      <c r="R14" s="32">
        <v>6.5404818593643768</v>
      </c>
      <c r="S14" s="32">
        <v>3.453875676036489</v>
      </c>
      <c r="T14" s="32"/>
      <c r="U14" s="32"/>
      <c r="V14" s="32"/>
      <c r="W14" s="32"/>
      <c r="X14" s="32"/>
      <c r="Y14" s="32"/>
      <c r="Z14" s="32"/>
    </row>
    <row r="15" spans="1:33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0">
        <f>20%+(F14-20%)*0.95</f>
        <v>0.31606714062499996</v>
      </c>
      <c r="G15" s="23">
        <f t="shared" si="2"/>
        <v>0.44109589041095892</v>
      </c>
      <c r="H15" s="28">
        <f t="shared" si="0"/>
        <v>31</v>
      </c>
      <c r="I15" s="29" t="s">
        <v>9</v>
      </c>
      <c r="J15" s="30">
        <v>1</v>
      </c>
      <c r="K15" s="31">
        <v>0</v>
      </c>
      <c r="L15" s="1">
        <v>1</v>
      </c>
      <c r="M15" s="1">
        <v>-1</v>
      </c>
      <c r="N15" s="32">
        <v>1.5151422182784557</v>
      </c>
      <c r="O15" s="32">
        <v>3.4596692118041048</v>
      </c>
      <c r="P15" s="32">
        <v>-5.25</v>
      </c>
      <c r="Q15" s="32">
        <v>-0.25</v>
      </c>
      <c r="R15" s="32">
        <v>6.7651422182784557</v>
      </c>
      <c r="S15" s="32">
        <v>3.7096692118041048</v>
      </c>
      <c r="T15" s="32"/>
      <c r="U15" s="32"/>
      <c r="V15" s="32"/>
      <c r="W15" s="32"/>
      <c r="X15" s="32"/>
      <c r="Y15" s="32"/>
      <c r="Z15" s="32"/>
    </row>
    <row r="16" spans="1:33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0">
        <f t="shared" si="3"/>
        <v>0.31026378359374995</v>
      </c>
      <c r="G16" s="23">
        <f t="shared" si="2"/>
        <v>0.52876712328767128</v>
      </c>
      <c r="H16" s="28">
        <f t="shared" si="0"/>
        <v>30</v>
      </c>
      <c r="I16" s="29" t="s">
        <v>9</v>
      </c>
      <c r="J16" s="30">
        <v>1</v>
      </c>
      <c r="K16" s="31">
        <v>0</v>
      </c>
      <c r="L16" s="1">
        <v>1</v>
      </c>
      <c r="M16" s="1">
        <v>-1</v>
      </c>
      <c r="N16" s="32">
        <v>3.0781758184662245</v>
      </c>
      <c r="O16" s="32">
        <v>2.3832778107217063</v>
      </c>
      <c r="P16" s="32">
        <v>-1.8999999999999986</v>
      </c>
      <c r="Q16" s="32">
        <v>3.1000000000000014</v>
      </c>
      <c r="R16" s="32">
        <v>4.978175818466223</v>
      </c>
      <c r="S16" s="32">
        <v>-0.71672218927829512</v>
      </c>
      <c r="T16" s="32"/>
      <c r="U16" s="32"/>
      <c r="V16" s="32"/>
      <c r="W16" s="32"/>
      <c r="X16" s="32"/>
      <c r="Y16" s="32"/>
      <c r="Z16" s="32"/>
    </row>
    <row r="17" spans="1:26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0">
        <f t="shared" si="3"/>
        <v>0.30475059441406244</v>
      </c>
      <c r="G17" s="23">
        <f t="shared" si="2"/>
        <v>0.61369863013698633</v>
      </c>
      <c r="H17" s="28">
        <f t="shared" si="0"/>
        <v>31</v>
      </c>
      <c r="I17" s="29" t="s">
        <v>9</v>
      </c>
      <c r="J17" s="30">
        <v>1</v>
      </c>
      <c r="K17" s="31">
        <v>0</v>
      </c>
      <c r="L17" s="1">
        <v>1</v>
      </c>
      <c r="M17" s="1">
        <v>-1</v>
      </c>
      <c r="N17" s="32">
        <v>3.3033139746544222</v>
      </c>
      <c r="O17" s="32">
        <v>2.5883532991878813</v>
      </c>
      <c r="P17" s="32">
        <v>-1.8999999999999986</v>
      </c>
      <c r="Q17" s="32">
        <v>3.1000000000000014</v>
      </c>
      <c r="R17" s="32">
        <v>5.2033139746544208</v>
      </c>
      <c r="S17" s="32">
        <v>-0.51164670081212016</v>
      </c>
      <c r="T17" s="32"/>
      <c r="U17" s="32"/>
      <c r="V17" s="32"/>
      <c r="W17" s="32"/>
      <c r="X17" s="32"/>
      <c r="Y17" s="32"/>
      <c r="Z17" s="32"/>
    </row>
    <row r="18" spans="1:26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0">
        <f t="shared" si="3"/>
        <v>0.29951306469335931</v>
      </c>
      <c r="G18" s="23">
        <f t="shared" si="2"/>
        <v>0.69315068493150689</v>
      </c>
      <c r="H18" s="28">
        <f t="shared" si="0"/>
        <v>31</v>
      </c>
      <c r="I18" s="29" t="s">
        <v>9</v>
      </c>
      <c r="J18" s="30">
        <v>1</v>
      </c>
      <c r="K18" s="31">
        <v>0</v>
      </c>
      <c r="L18" s="1">
        <v>1</v>
      </c>
      <c r="M18" s="1">
        <v>-1</v>
      </c>
      <c r="N18" s="32">
        <v>3.4857001904894105</v>
      </c>
      <c r="O18" s="32">
        <v>2.7550324037789373</v>
      </c>
      <c r="P18" s="32">
        <v>-1.8999999999999986</v>
      </c>
      <c r="Q18" s="32">
        <v>3.1000000000000014</v>
      </c>
      <c r="R18" s="32">
        <v>5.3857001904894091</v>
      </c>
      <c r="S18" s="32">
        <v>-0.3449675962210641</v>
      </c>
      <c r="T18" s="32"/>
      <c r="U18" s="32"/>
      <c r="V18" s="32"/>
      <c r="W18" s="32"/>
      <c r="X18" s="32"/>
      <c r="Y18" s="32"/>
      <c r="Z18" s="32"/>
    </row>
    <row r="19" spans="1:26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0">
        <f t="shared" si="3"/>
        <v>0.29453741145869133</v>
      </c>
      <c r="G19" s="23">
        <f t="shared" si="2"/>
        <v>0.78082191780821919</v>
      </c>
      <c r="H19" s="28">
        <f t="shared" si="0"/>
        <v>30</v>
      </c>
      <c r="I19" s="29" t="s">
        <v>9</v>
      </c>
      <c r="J19" s="30">
        <v>1</v>
      </c>
      <c r="K19" s="31">
        <v>0</v>
      </c>
      <c r="L19" s="1">
        <v>1</v>
      </c>
      <c r="M19" s="1">
        <v>-1</v>
      </c>
      <c r="N19" s="32">
        <v>6.9546666185615855</v>
      </c>
      <c r="O19" s="32">
        <v>1.4741341449103658</v>
      </c>
      <c r="P19" s="32">
        <v>3.75</v>
      </c>
      <c r="Q19" s="32">
        <v>8.75</v>
      </c>
      <c r="R19" s="32">
        <v>3.2046666185615855</v>
      </c>
      <c r="S19" s="32">
        <v>-7.2758658550896342</v>
      </c>
      <c r="T19" s="32"/>
      <c r="U19" s="32"/>
      <c r="V19" s="32"/>
      <c r="W19" s="32"/>
      <c r="X19" s="32"/>
      <c r="Y19" s="32"/>
      <c r="Z19" s="32"/>
    </row>
    <row r="20" spans="1:26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0">
        <f t="shared" si="3"/>
        <v>0.28981054088575675</v>
      </c>
      <c r="G20" s="23">
        <f t="shared" si="2"/>
        <v>0.86301369863013699</v>
      </c>
      <c r="H20" s="28">
        <f t="shared" si="0"/>
        <v>31</v>
      </c>
      <c r="I20" s="29" t="s">
        <v>9</v>
      </c>
      <c r="J20" s="30">
        <v>1</v>
      </c>
      <c r="K20" s="31">
        <v>0</v>
      </c>
      <c r="L20" s="1">
        <v>1</v>
      </c>
      <c r="M20" s="1">
        <v>-1</v>
      </c>
      <c r="N20" s="32">
        <v>7.1132877769238547</v>
      </c>
      <c r="O20" s="32">
        <v>1.5925385148809177</v>
      </c>
      <c r="P20" s="32">
        <v>3.75</v>
      </c>
      <c r="Q20" s="32">
        <v>8.75</v>
      </c>
      <c r="R20" s="32">
        <v>3.3632877769238547</v>
      </c>
      <c r="S20" s="32">
        <v>-7.1574614851190823</v>
      </c>
      <c r="T20" s="32"/>
      <c r="U20" s="32"/>
      <c r="V20" s="32"/>
      <c r="W20" s="32"/>
      <c r="X20" s="32"/>
      <c r="Y20" s="32"/>
      <c r="Z20" s="32"/>
    </row>
    <row r="21" spans="1:26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0">
        <f t="shared" si="3"/>
        <v>0.28532001384146888</v>
      </c>
      <c r="G21" s="23">
        <f t="shared" si="2"/>
        <v>0.94246575342465755</v>
      </c>
      <c r="H21" s="28">
        <f t="shared" si="0"/>
        <v>30</v>
      </c>
      <c r="I21" s="29" t="s">
        <v>9</v>
      </c>
      <c r="J21" s="30">
        <v>1</v>
      </c>
      <c r="K21" s="31">
        <v>0</v>
      </c>
      <c r="L21" s="1">
        <v>1</v>
      </c>
      <c r="M21" s="1">
        <v>-1</v>
      </c>
      <c r="N21" s="32">
        <v>7.2509163417181135</v>
      </c>
      <c r="O21" s="32">
        <v>1.6967311490158483</v>
      </c>
      <c r="P21" s="32">
        <v>3.75</v>
      </c>
      <c r="Q21" s="32">
        <v>8.75</v>
      </c>
      <c r="R21" s="32">
        <v>3.5009163417181135</v>
      </c>
      <c r="S21" s="32">
        <v>-7.0532688509841517</v>
      </c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1"/>
      <c r="I22" s="22"/>
      <c r="J22" s="22"/>
      <c r="K22" s="22"/>
      <c r="L22" s="23"/>
      <c r="M22" s="23"/>
      <c r="N22" s="18"/>
      <c r="O22" s="18"/>
      <c r="P22" s="24"/>
      <c r="Q22" s="24"/>
      <c r="R22" s="25"/>
      <c r="S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</sheetData>
  <dataValidations count="1">
    <dataValidation type="list" allowBlank="1" showInputMessage="1" showErrorMessage="1" sqref="I10:I21" xr:uid="{0AD6AC8A-5067-4CEB-B2AF-9C5A720709D8}">
      <formula1>$J$5:$J$7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957C1-7AC1-49D5-BC5C-C423808A35C7}">
  <sheetPr codeName="Sheet3"/>
  <dimension ref="A1:AP23"/>
  <sheetViews>
    <sheetView zoomScale="55" zoomScaleNormal="55" workbookViewId="0">
      <selection activeCell="P10" sqref="P10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12" width="15.1796875" style="1" customWidth="1"/>
    <col min="13" max="13" width="7.36328125" style="1" bestFit="1" customWidth="1"/>
    <col min="14" max="15" width="7.36328125" style="1" customWidth="1"/>
    <col min="16" max="16" width="10.7265625" style="1" bestFit="1" customWidth="1"/>
    <col min="17" max="18" width="10.726562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34" width="21.54296875" style="1" bestFit="1" customWidth="1"/>
    <col min="35" max="35" width="9.1796875" style="1" bestFit="1" customWidth="1"/>
    <col min="36" max="36" width="12.1796875" style="1" bestFit="1" customWidth="1"/>
    <col min="37" max="37" width="11.81640625" style="1" customWidth="1"/>
    <col min="38" max="16384" width="8.7265625" style="1"/>
  </cols>
  <sheetData>
    <row r="1" spans="1:42" ht="40" customHeight="1" x14ac:dyDescent="0.35"/>
    <row r="2" spans="1:42" ht="15" thickBot="1" x14ac:dyDescent="0.4"/>
    <row r="3" spans="1:42" ht="15" thickBot="1" x14ac:dyDescent="0.4">
      <c r="A3" s="2" t="s">
        <v>0</v>
      </c>
      <c r="B3" s="3">
        <v>43811</v>
      </c>
      <c r="I3" s="4"/>
      <c r="J3" s="5"/>
      <c r="K3" s="5"/>
      <c r="L3" s="6"/>
    </row>
    <row r="4" spans="1:42" x14ac:dyDescent="0.35">
      <c r="I4" s="7"/>
      <c r="J4" s="8"/>
      <c r="K4" s="8"/>
      <c r="L4" s="9"/>
    </row>
    <row r="5" spans="1:42" x14ac:dyDescent="0.35">
      <c r="I5" s="7" t="s">
        <v>24</v>
      </c>
      <c r="J5" s="8"/>
      <c r="K5" s="8" t="s">
        <v>9</v>
      </c>
      <c r="L5" s="11">
        <v>1</v>
      </c>
    </row>
    <row r="6" spans="1:42" x14ac:dyDescent="0.35">
      <c r="B6" s="10"/>
      <c r="I6" s="7" t="s">
        <v>3</v>
      </c>
      <c r="J6" s="8"/>
      <c r="K6" s="8" t="s">
        <v>4</v>
      </c>
      <c r="L6" s="11">
        <v>0.35</v>
      </c>
    </row>
    <row r="7" spans="1:42" ht="15" thickBot="1" x14ac:dyDescent="0.4">
      <c r="I7" s="12" t="s">
        <v>5</v>
      </c>
      <c r="J7" s="13"/>
      <c r="K7" s="13" t="s">
        <v>6</v>
      </c>
      <c r="L7" s="14">
        <v>0.65</v>
      </c>
    </row>
    <row r="8" spans="1:42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42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7" t="s">
        <v>67</v>
      </c>
      <c r="G9" s="38" t="s">
        <v>10</v>
      </c>
      <c r="H9" s="17" t="s">
        <v>13</v>
      </c>
      <c r="I9" s="27" t="s">
        <v>19</v>
      </c>
      <c r="J9" s="27" t="s">
        <v>20</v>
      </c>
      <c r="K9" s="27" t="s">
        <v>21</v>
      </c>
      <c r="L9" s="27" t="s">
        <v>22</v>
      </c>
      <c r="M9" s="27" t="s">
        <v>53</v>
      </c>
      <c r="N9" s="27" t="s">
        <v>54</v>
      </c>
      <c r="O9" s="27" t="s">
        <v>68</v>
      </c>
      <c r="P9" s="27" t="s">
        <v>55</v>
      </c>
      <c r="Q9" s="27" t="s">
        <v>56</v>
      </c>
      <c r="R9" s="27" t="s">
        <v>69</v>
      </c>
      <c r="S9" s="27" t="s">
        <v>57</v>
      </c>
      <c r="T9" s="27" t="s">
        <v>58</v>
      </c>
      <c r="U9" s="27" t="s">
        <v>70</v>
      </c>
      <c r="V9" s="27" t="s">
        <v>59</v>
      </c>
      <c r="W9" s="27" t="s">
        <v>60</v>
      </c>
      <c r="X9" s="27" t="s">
        <v>71</v>
      </c>
      <c r="Y9" s="27" t="s">
        <v>61</v>
      </c>
      <c r="Z9" s="27" t="s">
        <v>62</v>
      </c>
      <c r="AA9" s="27" t="s">
        <v>72</v>
      </c>
      <c r="AB9" s="27" t="s">
        <v>63</v>
      </c>
      <c r="AC9" s="27" t="s">
        <v>64</v>
      </c>
      <c r="AD9" s="27" t="s">
        <v>73</v>
      </c>
      <c r="AE9" s="27" t="s">
        <v>65</v>
      </c>
      <c r="AF9" s="27" t="s">
        <v>66</v>
      </c>
      <c r="AG9" s="27" t="s">
        <v>74</v>
      </c>
      <c r="AH9" s="27" t="s">
        <v>33</v>
      </c>
      <c r="AI9" s="27" t="s">
        <v>40</v>
      </c>
      <c r="AJ9" s="27" t="s">
        <v>44</v>
      </c>
      <c r="AK9" s="27" t="s">
        <v>41</v>
      </c>
      <c r="AL9" s="27" t="s">
        <v>43</v>
      </c>
      <c r="AM9" s="27" t="s">
        <v>43</v>
      </c>
      <c r="AN9" s="27" t="s">
        <v>42</v>
      </c>
      <c r="AO9" s="27" t="s">
        <v>45</v>
      </c>
      <c r="AP9" s="27" t="s">
        <v>50</v>
      </c>
    </row>
    <row r="10" spans="1:42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2">
        <v>35</v>
      </c>
      <c r="G10" s="40">
        <v>0.35</v>
      </c>
      <c r="H10" s="23">
        <f>(B10-$B$3)/365</f>
        <v>3.0136986301369864E-2</v>
      </c>
      <c r="I10" s="28">
        <f t="shared" ref="I10:I21" si="0">DAY(EOMONTH(B10,0))</f>
        <v>31</v>
      </c>
      <c r="J10" s="29" t="s">
        <v>9</v>
      </c>
      <c r="K10" s="30">
        <v>1</v>
      </c>
      <c r="L10" s="31">
        <v>0</v>
      </c>
      <c r="M10" s="1">
        <v>1</v>
      </c>
      <c r="N10" s="1">
        <v>-1</v>
      </c>
      <c r="O10" s="1">
        <v>-1</v>
      </c>
      <c r="P10" s="32">
        <v>0.30659208897466961</v>
      </c>
      <c r="Q10" s="32">
        <v>0.16789259319931293</v>
      </c>
      <c r="R10" s="32">
        <v>2.8666922948871604E-4</v>
      </c>
      <c r="S10" s="32">
        <v>-2.2000000000000028</v>
      </c>
      <c r="T10" s="32">
        <v>2.7999999999999972</v>
      </c>
      <c r="U10" s="32">
        <v>7.7999999999999972</v>
      </c>
      <c r="V10" s="32">
        <v>2.5065920889746724</v>
      </c>
      <c r="W10" s="32">
        <v>-7.6321074068006842</v>
      </c>
      <c r="X10" s="32">
        <v>-7.7997133307705084</v>
      </c>
      <c r="Y10" s="32"/>
      <c r="Z10" s="32"/>
      <c r="AA10" s="32"/>
      <c r="AB10" s="32"/>
      <c r="AC10" s="32"/>
      <c r="AD10" s="32"/>
      <c r="AE10" s="32"/>
    </row>
    <row r="11" spans="1:42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2">
        <v>35</v>
      </c>
      <c r="G11" s="40">
        <f>20%+(G10-20%)*0.95</f>
        <v>0.34249999999999997</v>
      </c>
      <c r="H11" s="23">
        <f t="shared" ref="H11:H21" si="2">(B11-$B$3)/365</f>
        <v>0.11506849315068493</v>
      </c>
      <c r="I11" s="28">
        <f t="shared" si="0"/>
        <v>31</v>
      </c>
      <c r="J11" s="29" t="s">
        <v>9</v>
      </c>
      <c r="K11" s="30">
        <v>1</v>
      </c>
      <c r="L11" s="31">
        <v>0</v>
      </c>
      <c r="M11" s="1">
        <v>1</v>
      </c>
      <c r="N11" s="1">
        <v>-1</v>
      </c>
      <c r="O11" s="1">
        <v>-1</v>
      </c>
      <c r="P11" s="32">
        <v>2.4981571281570432</v>
      </c>
      <c r="Q11" s="32">
        <v>0.30457507903773351</v>
      </c>
      <c r="R11" s="32">
        <v>1.6733620591898257E-2</v>
      </c>
      <c r="S11" s="32">
        <v>0.75</v>
      </c>
      <c r="T11" s="32">
        <v>5.75</v>
      </c>
      <c r="U11" s="32">
        <v>10.75</v>
      </c>
      <c r="V11" s="32">
        <v>1.7481571281570432</v>
      </c>
      <c r="W11" s="32">
        <v>-10.445424920962267</v>
      </c>
      <c r="X11" s="32">
        <v>-10.733266379408102</v>
      </c>
      <c r="Y11" s="32"/>
      <c r="Z11" s="32"/>
      <c r="AA11" s="32"/>
      <c r="AB11" s="32"/>
      <c r="AC11" s="32"/>
      <c r="AD11" s="32"/>
      <c r="AE11" s="32"/>
    </row>
    <row r="12" spans="1:42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2">
        <v>35</v>
      </c>
      <c r="G12" s="40">
        <f t="shared" ref="G12:G21" si="3">20%+(G11-20%)*0.95</f>
        <v>0.33537499999999998</v>
      </c>
      <c r="H12" s="23">
        <f t="shared" si="2"/>
        <v>0.19178082191780821</v>
      </c>
      <c r="I12" s="28">
        <f t="shared" si="0"/>
        <v>29</v>
      </c>
      <c r="J12" s="29" t="s">
        <v>9</v>
      </c>
      <c r="K12" s="30">
        <v>1</v>
      </c>
      <c r="L12" s="31">
        <v>0</v>
      </c>
      <c r="M12" s="1">
        <v>1</v>
      </c>
      <c r="N12" s="1">
        <v>-1</v>
      </c>
      <c r="O12" s="1">
        <v>-1</v>
      </c>
      <c r="P12" s="32">
        <v>1.2874771742439801</v>
      </c>
      <c r="Q12" s="32">
        <v>1.5656545160049546</v>
      </c>
      <c r="R12" s="32">
        <v>0.29905920700099209</v>
      </c>
      <c r="S12" s="32">
        <v>-3.1000000000000014</v>
      </c>
      <c r="T12" s="32">
        <v>1.8999999999999986</v>
      </c>
      <c r="U12" s="32">
        <v>6.8999999999999986</v>
      </c>
      <c r="V12" s="32">
        <v>4.3874771742439815</v>
      </c>
      <c r="W12" s="32">
        <v>-5.3343454839950439</v>
      </c>
      <c r="X12" s="32">
        <v>-6.6009407929990065</v>
      </c>
      <c r="Y12" s="32"/>
      <c r="Z12" s="32"/>
      <c r="AA12" s="32"/>
      <c r="AB12" s="32"/>
      <c r="AC12" s="32"/>
      <c r="AD12" s="32"/>
      <c r="AE12" s="32"/>
    </row>
    <row r="13" spans="1:42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2">
        <v>35</v>
      </c>
      <c r="G13" s="40">
        <f t="shared" si="3"/>
        <v>0.32860624999999999</v>
      </c>
      <c r="H13" s="23">
        <f t="shared" si="2"/>
        <v>0.27945205479452057</v>
      </c>
      <c r="I13" s="28">
        <f t="shared" si="0"/>
        <v>31</v>
      </c>
      <c r="J13" s="29" t="s">
        <v>9</v>
      </c>
      <c r="K13" s="30">
        <v>1</v>
      </c>
      <c r="L13" s="31">
        <v>0</v>
      </c>
      <c r="M13" s="1">
        <v>1</v>
      </c>
      <c r="N13" s="1">
        <v>-1</v>
      </c>
      <c r="O13" s="1">
        <v>-1</v>
      </c>
      <c r="P13" s="32">
        <v>1.0226367095337494</v>
      </c>
      <c r="Q13" s="32">
        <v>2.8866999331369065</v>
      </c>
      <c r="R13" s="32">
        <v>0.87382859607414076</v>
      </c>
      <c r="S13" s="32">
        <v>-5.25</v>
      </c>
      <c r="T13" s="32">
        <v>-0.25</v>
      </c>
      <c r="U13" s="32">
        <v>4.75</v>
      </c>
      <c r="V13" s="32">
        <v>6.2726367095337494</v>
      </c>
      <c r="W13" s="32">
        <v>-1.8633000668630935</v>
      </c>
      <c r="X13" s="32">
        <v>-3.8761714039258592</v>
      </c>
      <c r="Y13" s="32"/>
      <c r="Z13" s="32"/>
      <c r="AA13" s="32"/>
      <c r="AB13" s="32"/>
      <c r="AC13" s="32"/>
      <c r="AD13" s="32"/>
      <c r="AE13" s="32"/>
    </row>
    <row r="14" spans="1:42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2">
        <v>35</v>
      </c>
      <c r="G14" s="40">
        <f t="shared" si="3"/>
        <v>0.32217593749999995</v>
      </c>
      <c r="H14" s="23">
        <f t="shared" si="2"/>
        <v>0.36164383561643837</v>
      </c>
      <c r="I14" s="28">
        <f t="shared" si="0"/>
        <v>30</v>
      </c>
      <c r="J14" s="29" t="s">
        <v>9</v>
      </c>
      <c r="K14" s="30">
        <v>1</v>
      </c>
      <c r="L14" s="31">
        <v>0</v>
      </c>
      <c r="M14" s="1">
        <v>1</v>
      </c>
      <c r="N14" s="1">
        <v>-1</v>
      </c>
      <c r="O14" s="1">
        <v>-1</v>
      </c>
      <c r="P14" s="32">
        <v>1.2904818593643768</v>
      </c>
      <c r="Q14" s="32">
        <v>3.203875676036489</v>
      </c>
      <c r="R14" s="32">
        <v>1.1072350215530697</v>
      </c>
      <c r="S14" s="32">
        <v>-5.25</v>
      </c>
      <c r="T14" s="32">
        <v>-0.25</v>
      </c>
      <c r="U14" s="32">
        <v>4.75</v>
      </c>
      <c r="V14" s="32">
        <v>6.5404818593643768</v>
      </c>
      <c r="W14" s="32">
        <v>-1.546124323963511</v>
      </c>
      <c r="X14" s="32">
        <v>-3.6427649784469303</v>
      </c>
      <c r="Y14" s="32"/>
      <c r="Z14" s="32"/>
      <c r="AA14" s="32"/>
      <c r="AB14" s="32"/>
      <c r="AC14" s="32"/>
      <c r="AD14" s="32"/>
      <c r="AE14" s="32"/>
    </row>
    <row r="15" spans="1:42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2">
        <v>35</v>
      </c>
      <c r="G15" s="40">
        <f>20%+(G14-20%)*0.95</f>
        <v>0.31606714062499996</v>
      </c>
      <c r="H15" s="23">
        <f t="shared" si="2"/>
        <v>0.44109589041095892</v>
      </c>
      <c r="I15" s="28">
        <f t="shared" si="0"/>
        <v>31</v>
      </c>
      <c r="J15" s="29" t="s">
        <v>9</v>
      </c>
      <c r="K15" s="30">
        <v>1</v>
      </c>
      <c r="L15" s="31">
        <v>0</v>
      </c>
      <c r="M15" s="1">
        <v>1</v>
      </c>
      <c r="N15" s="1">
        <v>-1</v>
      </c>
      <c r="O15" s="1">
        <v>-1</v>
      </c>
      <c r="P15" s="32">
        <v>1.5151422182784557</v>
      </c>
      <c r="Q15" s="32">
        <v>3.4596692118041048</v>
      </c>
      <c r="R15" s="32">
        <v>1.3034128403136922</v>
      </c>
      <c r="S15" s="32">
        <v>-5.25</v>
      </c>
      <c r="T15" s="32">
        <v>-0.25</v>
      </c>
      <c r="U15" s="32">
        <v>4.75</v>
      </c>
      <c r="V15" s="32">
        <v>6.7651422182784557</v>
      </c>
      <c r="W15" s="32">
        <v>-1.2903307881958952</v>
      </c>
      <c r="X15" s="32">
        <v>-3.4465871596863078</v>
      </c>
      <c r="Y15" s="32"/>
      <c r="Z15" s="32"/>
      <c r="AA15" s="32"/>
      <c r="AB15" s="32"/>
      <c r="AC15" s="32"/>
      <c r="AD15" s="32"/>
      <c r="AE15" s="32"/>
    </row>
    <row r="16" spans="1:42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2">
        <v>35</v>
      </c>
      <c r="G16" s="40">
        <f t="shared" si="3"/>
        <v>0.31026378359374995</v>
      </c>
      <c r="H16" s="23">
        <f t="shared" si="2"/>
        <v>0.52876712328767128</v>
      </c>
      <c r="I16" s="28">
        <f t="shared" si="0"/>
        <v>30</v>
      </c>
      <c r="J16" s="29" t="s">
        <v>9</v>
      </c>
      <c r="K16" s="30">
        <v>1</v>
      </c>
      <c r="L16" s="31">
        <v>0</v>
      </c>
      <c r="M16" s="1">
        <v>1</v>
      </c>
      <c r="N16" s="1">
        <v>-1</v>
      </c>
      <c r="O16" s="1">
        <v>-1</v>
      </c>
      <c r="P16" s="32">
        <v>3.0781758184662245</v>
      </c>
      <c r="Q16" s="32">
        <v>2.3832778107217063</v>
      </c>
      <c r="R16" s="32">
        <v>0.84070111730627328</v>
      </c>
      <c r="S16" s="32">
        <v>-1.8999999999999986</v>
      </c>
      <c r="T16" s="32">
        <v>3.1000000000000014</v>
      </c>
      <c r="U16" s="32">
        <v>8.1000000000000014</v>
      </c>
      <c r="V16" s="32">
        <v>4.978175818466223</v>
      </c>
      <c r="W16" s="32">
        <v>-5.7167221892782951</v>
      </c>
      <c r="X16" s="32">
        <v>-7.2592988826937281</v>
      </c>
      <c r="Y16" s="32"/>
      <c r="Z16" s="32"/>
      <c r="AA16" s="32"/>
      <c r="AB16" s="32"/>
      <c r="AC16" s="32"/>
      <c r="AD16" s="32"/>
      <c r="AE16" s="32"/>
    </row>
    <row r="17" spans="1:31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2">
        <v>35</v>
      </c>
      <c r="G17" s="40">
        <f t="shared" si="3"/>
        <v>0.30475059441406244</v>
      </c>
      <c r="H17" s="23">
        <f t="shared" si="2"/>
        <v>0.61369863013698633</v>
      </c>
      <c r="I17" s="28">
        <f t="shared" si="0"/>
        <v>31</v>
      </c>
      <c r="J17" s="29" t="s">
        <v>9</v>
      </c>
      <c r="K17" s="30">
        <v>1</v>
      </c>
      <c r="L17" s="31">
        <v>0</v>
      </c>
      <c r="M17" s="1">
        <v>1</v>
      </c>
      <c r="N17" s="1">
        <v>-1</v>
      </c>
      <c r="O17" s="1">
        <v>-1</v>
      </c>
      <c r="P17" s="32">
        <v>3.3033139746544222</v>
      </c>
      <c r="Q17" s="32">
        <v>2.5883532991878813</v>
      </c>
      <c r="R17" s="32">
        <v>0.97581580806622537</v>
      </c>
      <c r="S17" s="32">
        <v>-1.8999999999999986</v>
      </c>
      <c r="T17" s="32">
        <v>3.1000000000000014</v>
      </c>
      <c r="U17" s="32">
        <v>8.1000000000000014</v>
      </c>
      <c r="V17" s="32">
        <v>5.2033139746544208</v>
      </c>
      <c r="W17" s="32">
        <v>-5.5116467008121202</v>
      </c>
      <c r="X17" s="32">
        <v>-7.1241841919337761</v>
      </c>
      <c r="Y17" s="32"/>
      <c r="Z17" s="32"/>
      <c r="AA17" s="32"/>
      <c r="AB17" s="32"/>
      <c r="AC17" s="32"/>
      <c r="AD17" s="32"/>
      <c r="AE17" s="32"/>
    </row>
    <row r="18" spans="1:31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2">
        <v>35</v>
      </c>
      <c r="G18" s="40">
        <f t="shared" si="3"/>
        <v>0.29951306469335931</v>
      </c>
      <c r="H18" s="23">
        <f t="shared" si="2"/>
        <v>0.69315068493150689</v>
      </c>
      <c r="I18" s="28">
        <f t="shared" si="0"/>
        <v>31</v>
      </c>
      <c r="J18" s="29" t="s">
        <v>9</v>
      </c>
      <c r="K18" s="30">
        <v>1</v>
      </c>
      <c r="L18" s="31">
        <v>0</v>
      </c>
      <c r="M18" s="1">
        <v>1</v>
      </c>
      <c r="N18" s="1">
        <v>-1</v>
      </c>
      <c r="O18" s="1">
        <v>-1</v>
      </c>
      <c r="P18" s="32">
        <v>3.4857001904894105</v>
      </c>
      <c r="Q18" s="32">
        <v>2.7550324037789373</v>
      </c>
      <c r="R18" s="32">
        <v>1.0893565523680246</v>
      </c>
      <c r="S18" s="32">
        <v>-1.8999999999999986</v>
      </c>
      <c r="T18" s="32">
        <v>3.1000000000000014</v>
      </c>
      <c r="U18" s="32">
        <v>8.1000000000000014</v>
      </c>
      <c r="V18" s="32">
        <v>5.3857001904894091</v>
      </c>
      <c r="W18" s="32">
        <v>-5.3449675962210641</v>
      </c>
      <c r="X18" s="32">
        <v>-7.0106434476319768</v>
      </c>
      <c r="Y18" s="32"/>
      <c r="Z18" s="32"/>
      <c r="AA18" s="32"/>
      <c r="AB18" s="32"/>
      <c r="AC18" s="32"/>
      <c r="AD18" s="32"/>
      <c r="AE18" s="32"/>
    </row>
    <row r="19" spans="1:31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2">
        <v>35</v>
      </c>
      <c r="G19" s="40">
        <f t="shared" si="3"/>
        <v>0.29453741145869133</v>
      </c>
      <c r="H19" s="23">
        <f t="shared" si="2"/>
        <v>0.78082191780821919</v>
      </c>
      <c r="I19" s="28">
        <f t="shared" si="0"/>
        <v>30</v>
      </c>
      <c r="J19" s="29" t="s">
        <v>9</v>
      </c>
      <c r="K19" s="30">
        <v>1</v>
      </c>
      <c r="L19" s="31">
        <v>0</v>
      </c>
      <c r="M19" s="1">
        <v>1</v>
      </c>
      <c r="N19" s="1">
        <v>-1</v>
      </c>
      <c r="O19" s="1">
        <v>-1</v>
      </c>
      <c r="P19" s="32">
        <v>6.9546666185615855</v>
      </c>
      <c r="Q19" s="32">
        <v>1.4741341449103658</v>
      </c>
      <c r="R19" s="32">
        <v>0.5150687372258882</v>
      </c>
      <c r="S19" s="32">
        <v>3.75</v>
      </c>
      <c r="T19" s="32">
        <v>8.75</v>
      </c>
      <c r="U19" s="32">
        <v>13.75</v>
      </c>
      <c r="V19" s="32">
        <v>3.2046666185615855</v>
      </c>
      <c r="W19" s="32">
        <v>-12.275865855089634</v>
      </c>
      <c r="X19" s="32">
        <v>-13.234931262774111</v>
      </c>
      <c r="Y19" s="32"/>
      <c r="Z19" s="32"/>
      <c r="AA19" s="32"/>
      <c r="AB19" s="32"/>
      <c r="AC19" s="32"/>
      <c r="AD19" s="32"/>
      <c r="AE19" s="32"/>
    </row>
    <row r="20" spans="1:31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2">
        <v>35</v>
      </c>
      <c r="G20" s="40">
        <f t="shared" si="3"/>
        <v>0.28981054088575675</v>
      </c>
      <c r="H20" s="23">
        <f t="shared" si="2"/>
        <v>0.86301369863013699</v>
      </c>
      <c r="I20" s="28">
        <f t="shared" si="0"/>
        <v>31</v>
      </c>
      <c r="J20" s="29" t="s">
        <v>9</v>
      </c>
      <c r="K20" s="30">
        <v>1</v>
      </c>
      <c r="L20" s="31">
        <v>0</v>
      </c>
      <c r="M20" s="1">
        <v>1</v>
      </c>
      <c r="N20" s="1">
        <v>-1</v>
      </c>
      <c r="O20" s="1">
        <v>-1</v>
      </c>
      <c r="P20" s="32">
        <v>7.1132877769238547</v>
      </c>
      <c r="Q20" s="32">
        <v>1.5925385148809177</v>
      </c>
      <c r="R20" s="32">
        <v>0.58197021734250143</v>
      </c>
      <c r="S20" s="32">
        <v>3.75</v>
      </c>
      <c r="T20" s="32">
        <v>8.75</v>
      </c>
      <c r="U20" s="32">
        <v>13.75</v>
      </c>
      <c r="V20" s="32">
        <v>3.3632877769238547</v>
      </c>
      <c r="W20" s="32">
        <v>-12.157461485119082</v>
      </c>
      <c r="X20" s="32">
        <v>-13.168029782657499</v>
      </c>
      <c r="Y20" s="32"/>
      <c r="Z20" s="32"/>
      <c r="AA20" s="32"/>
      <c r="AB20" s="32"/>
      <c r="AC20" s="32"/>
      <c r="AD20" s="32"/>
      <c r="AE20" s="32"/>
    </row>
    <row r="21" spans="1:31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2">
        <v>35</v>
      </c>
      <c r="G21" s="40">
        <f t="shared" si="3"/>
        <v>0.28532001384146888</v>
      </c>
      <c r="H21" s="23">
        <f t="shared" si="2"/>
        <v>0.94246575342465755</v>
      </c>
      <c r="I21" s="28">
        <f t="shared" si="0"/>
        <v>30</v>
      </c>
      <c r="J21" s="29" t="s">
        <v>9</v>
      </c>
      <c r="K21" s="30">
        <v>1</v>
      </c>
      <c r="L21" s="31">
        <v>0</v>
      </c>
      <c r="M21" s="1">
        <v>1</v>
      </c>
      <c r="N21" s="1">
        <v>-1</v>
      </c>
      <c r="O21" s="1">
        <v>-1</v>
      </c>
      <c r="P21" s="32">
        <v>7.2509163417181135</v>
      </c>
      <c r="Q21" s="32">
        <v>1.6967311490158483</v>
      </c>
      <c r="R21" s="32">
        <v>0.64265933120129048</v>
      </c>
      <c r="S21" s="32">
        <v>3.75</v>
      </c>
      <c r="T21" s="32">
        <v>8.75</v>
      </c>
      <c r="U21" s="32">
        <v>13.75</v>
      </c>
      <c r="V21" s="32">
        <v>3.5009163417181135</v>
      </c>
      <c r="W21" s="32">
        <v>-12.053268850984152</v>
      </c>
      <c r="X21" s="32">
        <v>-13.10734066879871</v>
      </c>
      <c r="Y21" s="32"/>
      <c r="Z21" s="32"/>
      <c r="AA21" s="32"/>
      <c r="AB21" s="32"/>
      <c r="AC21" s="32"/>
      <c r="AD21" s="32"/>
      <c r="AE21" s="32"/>
    </row>
    <row r="22" spans="1:31" x14ac:dyDescent="0.35">
      <c r="A22" s="19"/>
      <c r="B22" s="20"/>
      <c r="C22" s="21"/>
      <c r="D22" s="21"/>
      <c r="E22" s="21"/>
      <c r="F22" s="21"/>
      <c r="G22" s="21"/>
      <c r="H22" s="21"/>
      <c r="I22" s="21"/>
      <c r="J22" s="22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31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</sheetData>
  <phoneticPr fontId="7" type="noConversion"/>
  <dataValidations count="1">
    <dataValidation type="list" allowBlank="1" showInputMessage="1" showErrorMessage="1" sqref="J10:J21" xr:uid="{E7FF0A8A-F283-4BC7-837D-53DF1FDC6633}">
      <formula1>$K$5:$K$7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FED91-9E3F-433B-AF00-267E3920B661}">
  <sheetPr codeName="Sheet10"/>
  <dimension ref="A1:X23"/>
  <sheetViews>
    <sheetView zoomScale="55" zoomScaleNormal="55" workbookViewId="0">
      <selection activeCell="F10" sqref="F10:F21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7.363281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18" width="13.26953125" style="1" customWidth="1"/>
    <col min="19" max="19" width="11.81640625" style="1" bestFit="1" customWidth="1"/>
    <col min="20" max="20" width="9.1796875" style="1" bestFit="1" customWidth="1"/>
    <col min="21" max="21" width="12.1796875" style="1" bestFit="1" customWidth="1"/>
    <col min="22" max="22" width="11.81640625" style="1" customWidth="1"/>
    <col min="23" max="16384" width="8.7265625" style="1"/>
  </cols>
  <sheetData>
    <row r="1" spans="1:24" ht="40" customHeight="1" x14ac:dyDescent="0.35"/>
    <row r="2" spans="1:24" ht="15" thickBot="1" x14ac:dyDescent="0.4"/>
    <row r="3" spans="1:24" ht="15" thickBot="1" x14ac:dyDescent="0.4">
      <c r="A3" s="2" t="s">
        <v>0</v>
      </c>
      <c r="B3" s="3">
        <v>43811</v>
      </c>
      <c r="G3" s="4"/>
      <c r="H3" s="5"/>
      <c r="I3" s="5"/>
      <c r="J3" s="6"/>
    </row>
    <row r="4" spans="1:24" x14ac:dyDescent="0.35">
      <c r="G4" s="7"/>
      <c r="H4" s="8"/>
      <c r="I4" s="8"/>
      <c r="J4" s="9"/>
    </row>
    <row r="5" spans="1:24" x14ac:dyDescent="0.35">
      <c r="G5" s="7" t="s">
        <v>24</v>
      </c>
      <c r="H5" s="8"/>
      <c r="I5" s="8" t="s">
        <v>9</v>
      </c>
      <c r="J5" s="11">
        <v>1</v>
      </c>
    </row>
    <row r="6" spans="1:24" x14ac:dyDescent="0.35">
      <c r="B6" s="10"/>
      <c r="G6" s="7" t="s">
        <v>3</v>
      </c>
      <c r="H6" s="8"/>
      <c r="I6" s="8" t="s">
        <v>4</v>
      </c>
      <c r="J6" s="11">
        <v>0.35</v>
      </c>
    </row>
    <row r="7" spans="1:24" ht="15" thickBot="1" x14ac:dyDescent="0.4">
      <c r="G7" s="12" t="s">
        <v>5</v>
      </c>
      <c r="H7" s="13"/>
      <c r="I7" s="13" t="s">
        <v>6</v>
      </c>
      <c r="J7" s="14">
        <v>0.65</v>
      </c>
    </row>
    <row r="8" spans="1:2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24" ht="14.5" customHeight="1" x14ac:dyDescent="0.35">
      <c r="A9" s="26" t="s">
        <v>7</v>
      </c>
      <c r="B9" s="26" t="s">
        <v>8</v>
      </c>
      <c r="C9" s="33" t="s">
        <v>14</v>
      </c>
      <c r="D9" s="37" t="s">
        <v>31</v>
      </c>
      <c r="E9" s="38" t="s">
        <v>10</v>
      </c>
      <c r="F9" s="17" t="s">
        <v>13</v>
      </c>
      <c r="G9" s="27" t="s">
        <v>19</v>
      </c>
      <c r="H9" s="27" t="s">
        <v>20</v>
      </c>
      <c r="I9" s="27" t="s">
        <v>21</v>
      </c>
      <c r="J9" s="27" t="s">
        <v>22</v>
      </c>
      <c r="K9" s="27" t="s">
        <v>23</v>
      </c>
      <c r="L9" s="27" t="s">
        <v>25</v>
      </c>
      <c r="M9" s="27" t="s">
        <v>26</v>
      </c>
      <c r="N9" s="27" t="s">
        <v>27</v>
      </c>
      <c r="O9" s="27" t="s">
        <v>28</v>
      </c>
      <c r="P9" s="27" t="s">
        <v>29</v>
      </c>
      <c r="Q9" s="27" t="s">
        <v>30</v>
      </c>
      <c r="R9" s="27" t="s">
        <v>44</v>
      </c>
      <c r="S9" s="27" t="s">
        <v>41</v>
      </c>
      <c r="T9" s="27" t="s">
        <v>43</v>
      </c>
      <c r="U9" s="27" t="s">
        <v>43</v>
      </c>
      <c r="V9" s="27" t="s">
        <v>42</v>
      </c>
      <c r="W9" s="27" t="s">
        <v>45</v>
      </c>
      <c r="X9" s="27" t="s">
        <v>50</v>
      </c>
    </row>
    <row r="10" spans="1:24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0">
        <v>0.35</v>
      </c>
      <c r="F10" s="23">
        <f>(B10-$B$3)/365</f>
        <v>3.0136986301369864E-2</v>
      </c>
      <c r="G10" s="28">
        <f t="shared" ref="G10:G21" si="0">DAY(EOMONTH(B10,0))</f>
        <v>31</v>
      </c>
      <c r="H10" s="29" t="s">
        <v>9</v>
      </c>
      <c r="I10" s="30">
        <v>1</v>
      </c>
      <c r="J10" s="31">
        <v>0</v>
      </c>
      <c r="K10" s="1">
        <v>1</v>
      </c>
      <c r="L10" s="32">
        <v>5.7329001814654834E-2</v>
      </c>
      <c r="M10" s="32">
        <v>-2.2000000000000028</v>
      </c>
      <c r="N10" s="32">
        <v>2.2573290018146577</v>
      </c>
      <c r="O10" s="32"/>
      <c r="P10" s="32"/>
      <c r="Q10" s="32"/>
    </row>
    <row r="11" spans="1:24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0">
        <f>20%+(E10-20%)*0.95</f>
        <v>0.34249999999999997</v>
      </c>
      <c r="F11" s="23">
        <f t="shared" ref="F11:F21" si="2">(B11-$B$3)/365</f>
        <v>0.11506849315068493</v>
      </c>
      <c r="G11" s="28">
        <f t="shared" si="0"/>
        <v>31</v>
      </c>
      <c r="H11" s="29" t="s">
        <v>9</v>
      </c>
      <c r="I11" s="30">
        <v>1</v>
      </c>
      <c r="J11" s="31">
        <v>0</v>
      </c>
      <c r="K11" s="1">
        <v>1</v>
      </c>
      <c r="L11" s="32">
        <v>1.6230423494048836</v>
      </c>
      <c r="M11" s="32">
        <v>0.75</v>
      </c>
      <c r="N11" s="32">
        <v>0.87304234940488357</v>
      </c>
      <c r="O11" s="32"/>
      <c r="P11" s="32"/>
      <c r="Q11" s="32"/>
    </row>
    <row r="12" spans="1:24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0">
        <f t="shared" ref="E12:E21" si="3">20%+(E11-20%)*0.95</f>
        <v>0.33537499999999998</v>
      </c>
      <c r="F12" s="23">
        <f t="shared" si="2"/>
        <v>0.19178082191780821</v>
      </c>
      <c r="G12" s="28">
        <f t="shared" si="0"/>
        <v>29</v>
      </c>
      <c r="H12" s="29" t="s">
        <v>9</v>
      </c>
      <c r="I12" s="30">
        <v>1</v>
      </c>
      <c r="J12" s="31">
        <v>0</v>
      </c>
      <c r="K12" s="1">
        <v>1</v>
      </c>
      <c r="L12" s="32">
        <v>0.42136837983376019</v>
      </c>
      <c r="M12" s="32">
        <v>-3.1000000000000014</v>
      </c>
      <c r="N12" s="32">
        <v>3.5213683798337616</v>
      </c>
      <c r="O12" s="32"/>
      <c r="P12" s="32"/>
      <c r="Q12" s="32"/>
    </row>
    <row r="13" spans="1:24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0">
        <f t="shared" si="3"/>
        <v>0.32860624999999999</v>
      </c>
      <c r="F13" s="23">
        <f t="shared" si="2"/>
        <v>0.27945205479452057</v>
      </c>
      <c r="G13" s="28">
        <f t="shared" si="0"/>
        <v>31</v>
      </c>
      <c r="H13" s="29" t="s">
        <v>9</v>
      </c>
      <c r="I13" s="30">
        <v>1</v>
      </c>
      <c r="J13" s="31">
        <v>0</v>
      </c>
      <c r="K13" s="1">
        <v>1</v>
      </c>
      <c r="L13" s="32">
        <v>0.22757480237186467</v>
      </c>
      <c r="M13" s="32">
        <v>-5.25</v>
      </c>
      <c r="N13" s="32">
        <v>5.4775748023718647</v>
      </c>
      <c r="O13" s="32"/>
      <c r="P13" s="32"/>
      <c r="Q13" s="32"/>
    </row>
    <row r="14" spans="1:24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0">
        <f t="shared" si="3"/>
        <v>0.32217593749999995</v>
      </c>
      <c r="F14" s="23">
        <f t="shared" si="2"/>
        <v>0.36164383561643837</v>
      </c>
      <c r="G14" s="28">
        <f t="shared" si="0"/>
        <v>30</v>
      </c>
      <c r="H14" s="29" t="s">
        <v>9</v>
      </c>
      <c r="I14" s="30">
        <v>1</v>
      </c>
      <c r="J14" s="31">
        <v>0</v>
      </c>
      <c r="K14" s="1">
        <v>1</v>
      </c>
      <c r="L14" s="32">
        <v>0.32584188983005902</v>
      </c>
      <c r="M14" s="32">
        <v>-5.25</v>
      </c>
      <c r="N14" s="32">
        <v>5.575841889830059</v>
      </c>
      <c r="O14" s="32"/>
      <c r="P14" s="32"/>
      <c r="Q14" s="32"/>
    </row>
    <row r="15" spans="1:24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0">
        <f>20%+(E14-20%)*0.95</f>
        <v>0.31606714062499996</v>
      </c>
      <c r="F15" s="23">
        <f t="shared" si="2"/>
        <v>0.44109589041095892</v>
      </c>
      <c r="G15" s="28">
        <f t="shared" si="0"/>
        <v>31</v>
      </c>
      <c r="H15" s="29" t="s">
        <v>9</v>
      </c>
      <c r="I15" s="30">
        <v>1</v>
      </c>
      <c r="J15" s="31">
        <v>0</v>
      </c>
      <c r="K15" s="1">
        <v>1</v>
      </c>
      <c r="L15" s="32">
        <v>0.41249689718847637</v>
      </c>
      <c r="M15" s="32">
        <v>-5.25</v>
      </c>
      <c r="N15" s="32">
        <v>5.6624968971884764</v>
      </c>
      <c r="O15" s="32"/>
      <c r="P15" s="32"/>
      <c r="Q15" s="32"/>
    </row>
    <row r="16" spans="1:24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0">
        <f t="shared" si="3"/>
        <v>0.31026378359374995</v>
      </c>
      <c r="F16" s="23">
        <f t="shared" si="2"/>
        <v>0.52876712328767128</v>
      </c>
      <c r="G16" s="28">
        <f t="shared" si="0"/>
        <v>30</v>
      </c>
      <c r="H16" s="29" t="s">
        <v>9</v>
      </c>
      <c r="I16" s="30">
        <v>1</v>
      </c>
      <c r="J16" s="31">
        <v>0</v>
      </c>
      <c r="K16" s="1">
        <v>1</v>
      </c>
      <c r="L16" s="32">
        <v>1.4440396159920823</v>
      </c>
      <c r="M16" s="32">
        <v>-1.8999999999999986</v>
      </c>
      <c r="N16" s="32">
        <v>3.3440396159920809</v>
      </c>
      <c r="O16" s="32"/>
      <c r="P16" s="32"/>
      <c r="Q16" s="32"/>
    </row>
    <row r="17" spans="1:17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0">
        <f t="shared" si="3"/>
        <v>0.30475059441406244</v>
      </c>
      <c r="F17" s="23">
        <f t="shared" si="2"/>
        <v>0.61369863013698633</v>
      </c>
      <c r="G17" s="28">
        <f t="shared" si="0"/>
        <v>31</v>
      </c>
      <c r="H17" s="29" t="s">
        <v>9</v>
      </c>
      <c r="I17" s="30">
        <v>1</v>
      </c>
      <c r="J17" s="31">
        <v>0</v>
      </c>
      <c r="K17" s="1">
        <v>1</v>
      </c>
      <c r="L17" s="32">
        <v>1.5616166109280982</v>
      </c>
      <c r="M17" s="32">
        <v>-1.8999999999999986</v>
      </c>
      <c r="N17" s="32">
        <v>3.4616166109280968</v>
      </c>
      <c r="O17" s="32"/>
      <c r="P17" s="32"/>
      <c r="Q17" s="32"/>
    </row>
    <row r="18" spans="1:17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0">
        <f t="shared" si="3"/>
        <v>0.29951306469335931</v>
      </c>
      <c r="F18" s="23">
        <f t="shared" si="2"/>
        <v>0.69315068493150689</v>
      </c>
      <c r="G18" s="28">
        <f t="shared" si="0"/>
        <v>31</v>
      </c>
      <c r="H18" s="29" t="s">
        <v>9</v>
      </c>
      <c r="I18" s="30">
        <v>1</v>
      </c>
      <c r="J18" s="31">
        <v>0</v>
      </c>
      <c r="K18" s="1">
        <v>1</v>
      </c>
      <c r="L18" s="32">
        <v>1.658135612258274</v>
      </c>
      <c r="M18" s="32">
        <v>-1.8999999999999986</v>
      </c>
      <c r="N18" s="32">
        <v>3.5581356122582726</v>
      </c>
      <c r="O18" s="32"/>
      <c r="P18" s="32"/>
      <c r="Q18" s="32"/>
    </row>
    <row r="19" spans="1:17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0">
        <f t="shared" si="3"/>
        <v>0.29453741145869133</v>
      </c>
      <c r="F19" s="23">
        <f t="shared" si="2"/>
        <v>0.78082191780821919</v>
      </c>
      <c r="G19" s="28">
        <f t="shared" si="0"/>
        <v>30</v>
      </c>
      <c r="H19" s="29" t="s">
        <v>9</v>
      </c>
      <c r="I19" s="30">
        <v>1</v>
      </c>
      <c r="J19" s="31">
        <v>0</v>
      </c>
      <c r="K19" s="1">
        <v>1</v>
      </c>
      <c r="L19" s="32">
        <v>4.9344235403491901</v>
      </c>
      <c r="M19" s="32">
        <v>3.75</v>
      </c>
      <c r="N19" s="32">
        <v>1.1844235403491901</v>
      </c>
      <c r="O19" s="32"/>
      <c r="P19" s="32"/>
      <c r="Q19" s="32"/>
    </row>
    <row r="20" spans="1:17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0">
        <f t="shared" si="3"/>
        <v>0.28981054088575675</v>
      </c>
      <c r="F20" s="23">
        <f t="shared" si="2"/>
        <v>0.86301369863013699</v>
      </c>
      <c r="G20" s="28">
        <f t="shared" si="0"/>
        <v>31</v>
      </c>
      <c r="H20" s="29" t="s">
        <v>9</v>
      </c>
      <c r="I20" s="30">
        <v>1</v>
      </c>
      <c r="J20" s="31">
        <v>0</v>
      </c>
      <c r="K20" s="1">
        <v>1</v>
      </c>
      <c r="L20" s="32">
        <v>5.0068095489748217</v>
      </c>
      <c r="M20" s="32">
        <v>3.75</v>
      </c>
      <c r="N20" s="32">
        <v>1.2568095489748217</v>
      </c>
      <c r="O20" s="32"/>
      <c r="P20" s="32"/>
      <c r="Q20" s="32"/>
    </row>
    <row r="21" spans="1:17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0">
        <f t="shared" si="3"/>
        <v>0.28532001384146888</v>
      </c>
      <c r="F21" s="23">
        <f t="shared" si="2"/>
        <v>0.94246575342465755</v>
      </c>
      <c r="G21" s="28">
        <f t="shared" si="0"/>
        <v>30</v>
      </c>
      <c r="H21" s="29" t="s">
        <v>9</v>
      </c>
      <c r="I21" s="30">
        <v>1</v>
      </c>
      <c r="J21" s="31">
        <v>0</v>
      </c>
      <c r="K21" s="1">
        <v>1</v>
      </c>
      <c r="L21" s="32">
        <v>5.0736811380351483</v>
      </c>
      <c r="M21" s="32">
        <v>3.75</v>
      </c>
      <c r="N21" s="32">
        <v>1.3236811380351483</v>
      </c>
      <c r="O21" s="32"/>
      <c r="P21" s="32"/>
      <c r="Q21" s="32"/>
    </row>
    <row r="22" spans="1:17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17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H10:H21" xr:uid="{A024C9A3-D795-4AF6-A570-4AA8237C4597}">
      <formula1>$I$5:$I$7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1A46-0C88-40A0-BAF2-46E6A9A409A7}">
  <sheetPr codeName="Sheet11"/>
  <dimension ref="A1:AG23"/>
  <sheetViews>
    <sheetView zoomScale="55" zoomScaleNormal="55" workbookViewId="0">
      <selection activeCell="M12" sqref="M12"/>
    </sheetView>
  </sheetViews>
  <sheetFormatPr defaultRowHeight="14.5" x14ac:dyDescent="0.35"/>
  <cols>
    <col min="1" max="7" width="14.453125" style="1" customWidth="1"/>
    <col min="8" max="11" width="15.1796875" style="1" customWidth="1"/>
    <col min="12" max="12" width="7.36328125" style="1" bestFit="1" customWidth="1"/>
    <col min="13" max="13" width="7.36328125" style="1" customWidth="1"/>
    <col min="14" max="14" width="10.7265625" style="1" bestFit="1" customWidth="1"/>
    <col min="15" max="15" width="10.7265625" style="1" customWidth="1"/>
    <col min="16" max="16" width="18.54296875" style="1" bestFit="1" customWidth="1"/>
    <col min="17" max="17" width="18.08984375" style="1" bestFit="1" customWidth="1"/>
    <col min="18" max="18" width="19.1796875" style="1" bestFit="1" customWidth="1"/>
    <col min="19" max="19" width="18.7265625" style="1" bestFit="1" customWidth="1"/>
    <col min="20" max="20" width="14.90625" style="1" bestFit="1" customWidth="1"/>
    <col min="21" max="21" width="14.453125" style="1" bestFit="1" customWidth="1"/>
    <col min="22" max="22" width="13.7265625" style="1" bestFit="1" customWidth="1"/>
    <col min="23" max="23" width="13.26953125" style="1" customWidth="1"/>
    <col min="24" max="24" width="17.81640625" style="1" bestFit="1" customWidth="1"/>
    <col min="25" max="25" width="17.36328125" style="1" bestFit="1" customWidth="1"/>
    <col min="26" max="26" width="14.453125" style="1" customWidth="1"/>
    <col min="27" max="27" width="10.6328125" style="1" bestFit="1" customWidth="1"/>
    <col min="28" max="28" width="12.1796875" style="1" bestFit="1" customWidth="1"/>
    <col min="29" max="29" width="11.81640625" style="1" customWidth="1"/>
    <col min="30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H3" s="4"/>
      <c r="I3" s="5"/>
      <c r="J3" s="5"/>
      <c r="K3" s="6"/>
    </row>
    <row r="4" spans="1:33" x14ac:dyDescent="0.35">
      <c r="H4" s="7"/>
      <c r="I4" s="8"/>
      <c r="J4" s="8"/>
      <c r="K4" s="9"/>
    </row>
    <row r="5" spans="1:33" x14ac:dyDescent="0.35">
      <c r="H5" s="7" t="s">
        <v>24</v>
      </c>
      <c r="I5" s="8"/>
      <c r="J5" s="8" t="s">
        <v>9</v>
      </c>
      <c r="K5" s="11">
        <v>1</v>
      </c>
    </row>
    <row r="6" spans="1:33" x14ac:dyDescent="0.35">
      <c r="B6" s="10"/>
      <c r="H6" s="7" t="s">
        <v>3</v>
      </c>
      <c r="I6" s="8"/>
      <c r="J6" s="8" t="s">
        <v>4</v>
      </c>
      <c r="K6" s="11">
        <v>0.35</v>
      </c>
    </row>
    <row r="7" spans="1:33" ht="15" thickBot="1" x14ac:dyDescent="0.4">
      <c r="H7" s="12" t="s">
        <v>5</v>
      </c>
      <c r="I7" s="13"/>
      <c r="J7" s="13" t="s">
        <v>6</v>
      </c>
      <c r="K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8" t="s">
        <v>10</v>
      </c>
      <c r="G9" s="17" t="s">
        <v>13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53</v>
      </c>
      <c r="M9" s="27" t="s">
        <v>54</v>
      </c>
      <c r="N9" s="27" t="s">
        <v>55</v>
      </c>
      <c r="O9" s="27" t="s">
        <v>56</v>
      </c>
      <c r="P9" s="27" t="s">
        <v>57</v>
      </c>
      <c r="Q9" s="27" t="s">
        <v>58</v>
      </c>
      <c r="R9" s="27" t="s">
        <v>59</v>
      </c>
      <c r="S9" s="27" t="s">
        <v>60</v>
      </c>
      <c r="T9" s="27" t="s">
        <v>61</v>
      </c>
      <c r="U9" s="27" t="s">
        <v>62</v>
      </c>
      <c r="V9" s="27" t="s">
        <v>63</v>
      </c>
      <c r="W9" s="27" t="s">
        <v>64</v>
      </c>
      <c r="X9" s="27" t="s">
        <v>65</v>
      </c>
      <c r="Y9" s="27" t="s">
        <v>66</v>
      </c>
      <c r="Z9" s="27" t="s">
        <v>32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0">
        <v>0.35</v>
      </c>
      <c r="G10" s="23">
        <f>(B10-$B$3)/365</f>
        <v>3.0136986301369864E-2</v>
      </c>
      <c r="H10" s="28">
        <f t="shared" ref="H10:H21" si="0">DAY(EOMONTH(B10,0))</f>
        <v>31</v>
      </c>
      <c r="I10" s="29" t="s">
        <v>9</v>
      </c>
      <c r="J10" s="30">
        <v>1</v>
      </c>
      <c r="K10" s="31">
        <v>0</v>
      </c>
      <c r="L10" s="1">
        <v>1</v>
      </c>
      <c r="M10" s="1">
        <v>-1</v>
      </c>
      <c r="N10" s="32">
        <v>5.7329001814654834E-2</v>
      </c>
      <c r="O10" s="32">
        <v>4.3902655814136438E-3</v>
      </c>
      <c r="P10" s="32">
        <v>-2.2000000000000028</v>
      </c>
      <c r="Q10" s="32">
        <v>2.7999999999999972</v>
      </c>
      <c r="R10" s="32">
        <v>2.2573290018146577</v>
      </c>
      <c r="S10" s="32">
        <v>-2.7956097344185835</v>
      </c>
      <c r="T10" s="32"/>
      <c r="U10" s="32"/>
      <c r="V10" s="32"/>
      <c r="W10" s="32"/>
      <c r="X10" s="32"/>
      <c r="Y10" s="32"/>
      <c r="Z10" s="32"/>
    </row>
    <row r="11" spans="1:33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0">
        <f>20%+(F10-20%)*0.95</f>
        <v>0.34249999999999997</v>
      </c>
      <c r="G11" s="23">
        <f t="shared" ref="G11:G21" si="2">(B11-$B$3)/365</f>
        <v>0.11506849315068493</v>
      </c>
      <c r="H11" s="28">
        <f t="shared" si="0"/>
        <v>31</v>
      </c>
      <c r="I11" s="29" t="s">
        <v>9</v>
      </c>
      <c r="J11" s="30">
        <v>1</v>
      </c>
      <c r="K11" s="31">
        <v>0</v>
      </c>
      <c r="L11" s="1">
        <v>1</v>
      </c>
      <c r="M11" s="1">
        <v>-1</v>
      </c>
      <c r="N11" s="32">
        <v>1.6230423494048836</v>
      </c>
      <c r="O11" s="32">
        <v>-2.2051447333048202E-2</v>
      </c>
      <c r="P11" s="32">
        <v>0.75</v>
      </c>
      <c r="Q11" s="32">
        <v>5.75</v>
      </c>
      <c r="R11" s="32">
        <v>0.87304234940488357</v>
      </c>
      <c r="S11" s="32">
        <v>-5.7720514473330482</v>
      </c>
      <c r="T11" s="32"/>
      <c r="U11" s="32"/>
      <c r="V11" s="32"/>
      <c r="W11" s="32"/>
      <c r="X11" s="32"/>
      <c r="Y11" s="32"/>
      <c r="Z11" s="32"/>
    </row>
    <row r="12" spans="1:33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0">
        <f t="shared" ref="F12:F21" si="3">20%+(F11-20%)*0.95</f>
        <v>0.33537499999999998</v>
      </c>
      <c r="G12" s="23">
        <f t="shared" si="2"/>
        <v>0.19178082191780821</v>
      </c>
      <c r="H12" s="28">
        <f t="shared" si="0"/>
        <v>29</v>
      </c>
      <c r="I12" s="29" t="s">
        <v>9</v>
      </c>
      <c r="J12" s="30">
        <v>1</v>
      </c>
      <c r="K12" s="31">
        <v>0</v>
      </c>
      <c r="L12" s="1">
        <v>1</v>
      </c>
      <c r="M12" s="1">
        <v>-1</v>
      </c>
      <c r="N12" s="32">
        <v>0.42136837983376019</v>
      </c>
      <c r="O12" s="32">
        <v>0.61423486081020684</v>
      </c>
      <c r="P12" s="32">
        <v>-3.1000000000000014</v>
      </c>
      <c r="Q12" s="32">
        <v>1.8999999999999986</v>
      </c>
      <c r="R12" s="32">
        <v>3.5213683798337616</v>
      </c>
      <c r="S12" s="32">
        <v>-1.2857651391897917</v>
      </c>
      <c r="T12" s="32"/>
      <c r="U12" s="32"/>
      <c r="V12" s="32"/>
      <c r="W12" s="32"/>
      <c r="X12" s="32"/>
      <c r="Y12" s="32"/>
      <c r="Z12" s="32"/>
    </row>
    <row r="13" spans="1:33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0">
        <f t="shared" si="3"/>
        <v>0.32860624999999999</v>
      </c>
      <c r="G13" s="23">
        <f t="shared" si="2"/>
        <v>0.27945205479452057</v>
      </c>
      <c r="H13" s="28">
        <f t="shared" si="0"/>
        <v>31</v>
      </c>
      <c r="I13" s="29" t="s">
        <v>9</v>
      </c>
      <c r="J13" s="30">
        <v>1</v>
      </c>
      <c r="K13" s="31">
        <v>0</v>
      </c>
      <c r="L13" s="1">
        <v>1</v>
      </c>
      <c r="M13" s="1">
        <v>-1</v>
      </c>
      <c r="N13" s="32">
        <v>0.22757480237186467</v>
      </c>
      <c r="O13" s="32">
        <v>1.7123136288191674</v>
      </c>
      <c r="P13" s="32">
        <v>-5.25</v>
      </c>
      <c r="Q13" s="32">
        <v>-0.25</v>
      </c>
      <c r="R13" s="32">
        <v>5.4775748023718647</v>
      </c>
      <c r="S13" s="32">
        <v>1.9623136288191674</v>
      </c>
      <c r="T13" s="32"/>
      <c r="U13" s="32"/>
      <c r="V13" s="32"/>
      <c r="W13" s="32"/>
      <c r="X13" s="32"/>
      <c r="Y13" s="32"/>
      <c r="Z13" s="32"/>
    </row>
    <row r="14" spans="1:33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0">
        <f t="shared" si="3"/>
        <v>0.32217593749999995</v>
      </c>
      <c r="G14" s="23">
        <f t="shared" si="2"/>
        <v>0.36164383561643837</v>
      </c>
      <c r="H14" s="28">
        <f t="shared" si="0"/>
        <v>30</v>
      </c>
      <c r="I14" s="29" t="s">
        <v>9</v>
      </c>
      <c r="J14" s="30">
        <v>1</v>
      </c>
      <c r="K14" s="31">
        <v>0</v>
      </c>
      <c r="L14" s="1">
        <v>1</v>
      </c>
      <c r="M14" s="1">
        <v>-1</v>
      </c>
      <c r="N14" s="32">
        <v>0.32584188983005902</v>
      </c>
      <c r="O14" s="32">
        <v>1.8891281152612152</v>
      </c>
      <c r="P14" s="32">
        <v>-5.25</v>
      </c>
      <c r="Q14" s="32">
        <v>-0.25</v>
      </c>
      <c r="R14" s="32">
        <v>5.575841889830059</v>
      </c>
      <c r="S14" s="32">
        <v>2.1391281152612152</v>
      </c>
      <c r="T14" s="32"/>
      <c r="U14" s="32"/>
      <c r="V14" s="32"/>
      <c r="W14" s="32"/>
      <c r="X14" s="32"/>
      <c r="Y14" s="32"/>
      <c r="Z14" s="32"/>
    </row>
    <row r="15" spans="1:33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0">
        <f>20%+(F14-20%)*0.95</f>
        <v>0.31606714062499996</v>
      </c>
      <c r="G15" s="23">
        <f t="shared" si="2"/>
        <v>0.44109589041095892</v>
      </c>
      <c r="H15" s="28">
        <f t="shared" si="0"/>
        <v>31</v>
      </c>
      <c r="I15" s="29" t="s">
        <v>9</v>
      </c>
      <c r="J15" s="30">
        <v>1</v>
      </c>
      <c r="K15" s="31">
        <v>0</v>
      </c>
      <c r="L15" s="1">
        <v>1</v>
      </c>
      <c r="M15" s="1">
        <v>-1</v>
      </c>
      <c r="N15" s="32">
        <v>0.41249689718847637</v>
      </c>
      <c r="O15" s="32">
        <v>2.0281944073519256</v>
      </c>
      <c r="P15" s="32">
        <v>-5.25</v>
      </c>
      <c r="Q15" s="32">
        <v>-0.25</v>
      </c>
      <c r="R15" s="32">
        <v>5.6624968971884764</v>
      </c>
      <c r="S15" s="32">
        <v>2.2781944073519256</v>
      </c>
      <c r="T15" s="32"/>
      <c r="U15" s="32"/>
      <c r="V15" s="32"/>
      <c r="W15" s="32"/>
      <c r="X15" s="32"/>
      <c r="Y15" s="32"/>
      <c r="Z15" s="32"/>
    </row>
    <row r="16" spans="1:33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0">
        <f t="shared" si="3"/>
        <v>0.31026378359374995</v>
      </c>
      <c r="G16" s="23">
        <f t="shared" si="2"/>
        <v>0.52876712328767128</v>
      </c>
      <c r="H16" s="28">
        <f t="shared" si="0"/>
        <v>30</v>
      </c>
      <c r="I16" s="29" t="s">
        <v>9</v>
      </c>
      <c r="J16" s="30">
        <v>1</v>
      </c>
      <c r="K16" s="31">
        <v>0</v>
      </c>
      <c r="L16" s="1">
        <v>1</v>
      </c>
      <c r="M16" s="1">
        <v>-1</v>
      </c>
      <c r="N16" s="32">
        <v>1.4440396159920823</v>
      </c>
      <c r="O16" s="32">
        <v>0.86475992699529769</v>
      </c>
      <c r="P16" s="32">
        <v>-1.8999999999999986</v>
      </c>
      <c r="Q16" s="32">
        <v>3.1000000000000014</v>
      </c>
      <c r="R16" s="32">
        <v>3.3440396159920809</v>
      </c>
      <c r="S16" s="32">
        <v>-2.2352400730047037</v>
      </c>
      <c r="T16" s="32"/>
      <c r="U16" s="32"/>
      <c r="V16" s="32"/>
      <c r="W16" s="32"/>
      <c r="X16" s="32"/>
      <c r="Y16" s="32"/>
      <c r="Z16" s="32"/>
    </row>
    <row r="17" spans="1:26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0">
        <f t="shared" si="3"/>
        <v>0.30475059441406244</v>
      </c>
      <c r="G17" s="23">
        <f t="shared" si="2"/>
        <v>0.61369863013698633</v>
      </c>
      <c r="H17" s="28">
        <f t="shared" si="0"/>
        <v>31</v>
      </c>
      <c r="I17" s="29" t="s">
        <v>9</v>
      </c>
      <c r="J17" s="30">
        <v>1</v>
      </c>
      <c r="K17" s="31">
        <v>0</v>
      </c>
      <c r="L17" s="1">
        <v>1</v>
      </c>
      <c r="M17" s="1">
        <v>-1</v>
      </c>
      <c r="N17" s="32">
        <v>1.5616166109280982</v>
      </c>
      <c r="O17" s="32">
        <v>0.95989052819748366</v>
      </c>
      <c r="P17" s="32">
        <v>-1.8999999999999986</v>
      </c>
      <c r="Q17" s="32">
        <v>3.1000000000000014</v>
      </c>
      <c r="R17" s="32">
        <v>3.4616166109280968</v>
      </c>
      <c r="S17" s="32">
        <v>-2.1401094718025178</v>
      </c>
      <c r="T17" s="32"/>
      <c r="U17" s="32"/>
      <c r="V17" s="32"/>
      <c r="W17" s="32"/>
      <c r="X17" s="32"/>
      <c r="Y17" s="32"/>
      <c r="Z17" s="32"/>
    </row>
    <row r="18" spans="1:26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0">
        <f t="shared" si="3"/>
        <v>0.29951306469335931</v>
      </c>
      <c r="G18" s="23">
        <f t="shared" si="2"/>
        <v>0.69315068493150689</v>
      </c>
      <c r="H18" s="28">
        <f t="shared" si="0"/>
        <v>31</v>
      </c>
      <c r="I18" s="29" t="s">
        <v>9</v>
      </c>
      <c r="J18" s="30">
        <v>1</v>
      </c>
      <c r="K18" s="31">
        <v>0</v>
      </c>
      <c r="L18" s="1">
        <v>1</v>
      </c>
      <c r="M18" s="1">
        <v>-1</v>
      </c>
      <c r="N18" s="32">
        <v>1.658135612258274</v>
      </c>
      <c r="O18" s="32">
        <v>1.038861117693493</v>
      </c>
      <c r="P18" s="32">
        <v>-1.8999999999999986</v>
      </c>
      <c r="Q18" s="32">
        <v>3.1000000000000014</v>
      </c>
      <c r="R18" s="32">
        <v>3.5581356122582726</v>
      </c>
      <c r="S18" s="32">
        <v>-2.0611388823065084</v>
      </c>
      <c r="T18" s="32"/>
      <c r="U18" s="32"/>
      <c r="V18" s="32"/>
      <c r="W18" s="32"/>
      <c r="X18" s="32"/>
      <c r="Y18" s="32"/>
      <c r="Z18" s="32"/>
    </row>
    <row r="19" spans="1:26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0">
        <f t="shared" si="3"/>
        <v>0.29453741145869133</v>
      </c>
      <c r="G19" s="23">
        <f t="shared" si="2"/>
        <v>0.78082191780821919</v>
      </c>
      <c r="H19" s="28">
        <f t="shared" si="0"/>
        <v>30</v>
      </c>
      <c r="I19" s="29" t="s">
        <v>9</v>
      </c>
      <c r="J19" s="30">
        <v>1</v>
      </c>
      <c r="K19" s="31">
        <v>0</v>
      </c>
      <c r="L19" s="1">
        <v>1</v>
      </c>
      <c r="M19" s="1">
        <v>-1</v>
      </c>
      <c r="N19" s="32">
        <v>4.9344235403491901</v>
      </c>
      <c r="O19" s="32">
        <v>6.9827590650938021E-2</v>
      </c>
      <c r="P19" s="32">
        <v>3.75</v>
      </c>
      <c r="Q19" s="32">
        <v>8.75</v>
      </c>
      <c r="R19" s="32">
        <v>1.1844235403491901</v>
      </c>
      <c r="S19" s="32">
        <v>-8.680172409349062</v>
      </c>
      <c r="T19" s="32"/>
      <c r="U19" s="32"/>
      <c r="V19" s="32"/>
      <c r="W19" s="32"/>
      <c r="X19" s="32"/>
      <c r="Y19" s="32"/>
      <c r="Z19" s="32"/>
    </row>
    <row r="20" spans="1:26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0">
        <f t="shared" si="3"/>
        <v>0.28981054088575675</v>
      </c>
      <c r="G20" s="23">
        <f t="shared" si="2"/>
        <v>0.86301369863013699</v>
      </c>
      <c r="H20" s="28">
        <f t="shared" si="0"/>
        <v>31</v>
      </c>
      <c r="I20" s="29" t="s">
        <v>9</v>
      </c>
      <c r="J20" s="30">
        <v>1</v>
      </c>
      <c r="K20" s="31">
        <v>0</v>
      </c>
      <c r="L20" s="1">
        <v>1</v>
      </c>
      <c r="M20" s="1">
        <v>-1</v>
      </c>
      <c r="N20" s="32">
        <v>5.0068095489748217</v>
      </c>
      <c r="O20" s="32">
        <v>9.5278325206741954E-2</v>
      </c>
      <c r="P20" s="32">
        <v>3.75</v>
      </c>
      <c r="Q20" s="32">
        <v>8.75</v>
      </c>
      <c r="R20" s="32">
        <v>1.2568095489748217</v>
      </c>
      <c r="S20" s="32">
        <v>-8.654721674793258</v>
      </c>
      <c r="T20" s="32"/>
      <c r="U20" s="32"/>
      <c r="V20" s="32"/>
      <c r="W20" s="32"/>
      <c r="X20" s="32"/>
      <c r="Y20" s="32"/>
      <c r="Z20" s="32"/>
    </row>
    <row r="21" spans="1:26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0">
        <f t="shared" si="3"/>
        <v>0.28532001384146888</v>
      </c>
      <c r="G21" s="23">
        <f t="shared" si="2"/>
        <v>0.94246575342465755</v>
      </c>
      <c r="H21" s="28">
        <f t="shared" si="0"/>
        <v>30</v>
      </c>
      <c r="I21" s="29" t="s">
        <v>9</v>
      </c>
      <c r="J21" s="30">
        <v>1</v>
      </c>
      <c r="K21" s="31">
        <v>0</v>
      </c>
      <c r="L21" s="1">
        <v>1</v>
      </c>
      <c r="M21" s="1">
        <v>-1</v>
      </c>
      <c r="N21" s="32">
        <v>5.0736811380351483</v>
      </c>
      <c r="O21" s="32">
        <v>0.12082194878772867</v>
      </c>
      <c r="P21" s="32">
        <v>3.75</v>
      </c>
      <c r="Q21" s="32">
        <v>8.75</v>
      </c>
      <c r="R21" s="32">
        <v>1.3236811380351483</v>
      </c>
      <c r="S21" s="32">
        <v>-8.6291780512122713</v>
      </c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1"/>
      <c r="I22" s="22"/>
      <c r="J22" s="22"/>
      <c r="K22" s="22"/>
      <c r="L22" s="23"/>
      <c r="M22" s="23"/>
      <c r="N22" s="18"/>
      <c r="O22" s="18"/>
      <c r="P22" s="24"/>
      <c r="Q22" s="24"/>
      <c r="R22" s="25"/>
      <c r="S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</sheetData>
  <phoneticPr fontId="7" type="noConversion"/>
  <dataValidations count="1">
    <dataValidation type="list" allowBlank="1" showInputMessage="1" showErrorMessage="1" sqref="I10:I21" xr:uid="{46DC3ACC-1F1D-43C8-9AA1-FE8516F81021}">
      <formula1>$J$5:$J$7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4715-6A61-4E60-9E3E-714E9DCA645A}">
  <sheetPr codeName="Sheet12"/>
  <dimension ref="A1:AO23"/>
  <sheetViews>
    <sheetView topLeftCell="P1" zoomScale="55" zoomScaleNormal="55" workbookViewId="0">
      <selection activeCell="AE9" sqref="AE9:AG9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12" width="15.1796875" style="1" customWidth="1"/>
    <col min="13" max="13" width="7.36328125" style="1" bestFit="1" customWidth="1"/>
    <col min="14" max="15" width="7.36328125" style="1" customWidth="1"/>
    <col min="16" max="16" width="10.7265625" style="1" bestFit="1" customWidth="1"/>
    <col min="17" max="18" width="10.726562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34" width="21.54296875" style="1" bestFit="1" customWidth="1"/>
    <col min="35" max="35" width="9.1796875" style="1" bestFit="1" customWidth="1"/>
    <col min="36" max="36" width="12.1796875" style="1" bestFit="1" customWidth="1"/>
    <col min="37" max="37" width="11.81640625" style="1" customWidth="1"/>
    <col min="38" max="16384" width="8.7265625" style="1"/>
  </cols>
  <sheetData>
    <row r="1" spans="1:41" ht="40" customHeight="1" x14ac:dyDescent="0.35"/>
    <row r="2" spans="1:41" ht="15" thickBot="1" x14ac:dyDescent="0.4"/>
    <row r="3" spans="1:41" ht="15" thickBot="1" x14ac:dyDescent="0.4">
      <c r="A3" s="2" t="s">
        <v>0</v>
      </c>
      <c r="B3" s="3">
        <v>43811</v>
      </c>
      <c r="I3" s="4"/>
      <c r="J3" s="5"/>
      <c r="K3" s="5"/>
      <c r="L3" s="6"/>
    </row>
    <row r="4" spans="1:41" x14ac:dyDescent="0.35">
      <c r="I4" s="7"/>
      <c r="J4" s="8"/>
      <c r="K4" s="8"/>
      <c r="L4" s="9"/>
    </row>
    <row r="5" spans="1:41" x14ac:dyDescent="0.35">
      <c r="I5" s="7" t="s">
        <v>24</v>
      </c>
      <c r="J5" s="8"/>
      <c r="K5" s="8" t="s">
        <v>9</v>
      </c>
      <c r="L5" s="11">
        <v>1</v>
      </c>
    </row>
    <row r="6" spans="1:41" x14ac:dyDescent="0.35">
      <c r="B6" s="10"/>
      <c r="I6" s="7" t="s">
        <v>3</v>
      </c>
      <c r="J6" s="8"/>
      <c r="K6" s="8" t="s">
        <v>4</v>
      </c>
      <c r="L6" s="11">
        <v>0.35</v>
      </c>
    </row>
    <row r="7" spans="1:41" ht="15" thickBot="1" x14ac:dyDescent="0.4">
      <c r="I7" s="12" t="s">
        <v>5</v>
      </c>
      <c r="J7" s="13"/>
      <c r="K7" s="13" t="s">
        <v>6</v>
      </c>
      <c r="L7" s="14">
        <v>0.65</v>
      </c>
    </row>
    <row r="8" spans="1:41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41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7" t="s">
        <v>67</v>
      </c>
      <c r="G9" s="38" t="s">
        <v>10</v>
      </c>
      <c r="H9" s="17" t="s">
        <v>13</v>
      </c>
      <c r="I9" s="27" t="s">
        <v>19</v>
      </c>
      <c r="J9" s="27" t="s">
        <v>20</v>
      </c>
      <c r="K9" s="27" t="s">
        <v>21</v>
      </c>
      <c r="L9" s="27" t="s">
        <v>22</v>
      </c>
      <c r="M9" s="27" t="s">
        <v>53</v>
      </c>
      <c r="N9" s="27" t="s">
        <v>54</v>
      </c>
      <c r="O9" s="27" t="s">
        <v>68</v>
      </c>
      <c r="P9" s="27" t="s">
        <v>55</v>
      </c>
      <c r="Q9" s="27" t="s">
        <v>56</v>
      </c>
      <c r="R9" s="27" t="s">
        <v>69</v>
      </c>
      <c r="S9" s="27" t="s">
        <v>57</v>
      </c>
      <c r="T9" s="27" t="s">
        <v>58</v>
      </c>
      <c r="U9" s="27" t="s">
        <v>70</v>
      </c>
      <c r="V9" s="27" t="s">
        <v>59</v>
      </c>
      <c r="W9" s="27" t="s">
        <v>60</v>
      </c>
      <c r="X9" s="27" t="s">
        <v>71</v>
      </c>
      <c r="Y9" s="27" t="s">
        <v>61</v>
      </c>
      <c r="Z9" s="27" t="s">
        <v>62</v>
      </c>
      <c r="AA9" s="27" t="s">
        <v>72</v>
      </c>
      <c r="AB9" s="27" t="s">
        <v>63</v>
      </c>
      <c r="AC9" s="27" t="s">
        <v>64</v>
      </c>
      <c r="AD9" s="27" t="s">
        <v>73</v>
      </c>
      <c r="AE9" s="27" t="s">
        <v>65</v>
      </c>
      <c r="AF9" s="27" t="s">
        <v>66</v>
      </c>
      <c r="AG9" s="27" t="s">
        <v>74</v>
      </c>
      <c r="AH9" s="27" t="s">
        <v>33</v>
      </c>
      <c r="AI9" s="27" t="s">
        <v>44</v>
      </c>
      <c r="AJ9" s="27" t="s">
        <v>41</v>
      </c>
      <c r="AK9" s="27" t="s">
        <v>43</v>
      </c>
      <c r="AL9" s="27" t="s">
        <v>43</v>
      </c>
      <c r="AM9" s="27" t="s">
        <v>42</v>
      </c>
      <c r="AN9" s="27" t="s">
        <v>45</v>
      </c>
      <c r="AO9" s="27" t="s">
        <v>50</v>
      </c>
    </row>
    <row r="10" spans="1:41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2">
        <v>35</v>
      </c>
      <c r="G10" s="40">
        <v>0.35</v>
      </c>
      <c r="H10" s="23">
        <f>(B10-$B$3)/365</f>
        <v>3.0136986301369864E-2</v>
      </c>
      <c r="I10" s="28">
        <f t="shared" ref="I10:I21" si="0">DAY(EOMONTH(B10,0))</f>
        <v>31</v>
      </c>
      <c r="J10" s="29" t="s">
        <v>9</v>
      </c>
      <c r="K10" s="30">
        <v>1</v>
      </c>
      <c r="L10" s="31">
        <v>0</v>
      </c>
      <c r="M10" s="1">
        <v>1</v>
      </c>
      <c r="N10" s="1">
        <v>-1</v>
      </c>
      <c r="O10" s="1">
        <v>-1</v>
      </c>
      <c r="P10" s="32">
        <v>5.7329001814654834E-2</v>
      </c>
      <c r="Q10" s="32">
        <v>4.3902655814136438E-3</v>
      </c>
      <c r="R10" s="32">
        <v>-1.315162619732746E-2</v>
      </c>
      <c r="S10" s="32">
        <v>-2.2000000000000028</v>
      </c>
      <c r="T10" s="32">
        <v>2.7999999999999972</v>
      </c>
      <c r="U10" s="32">
        <v>7.7999999999999972</v>
      </c>
      <c r="V10" s="32">
        <v>2.2573290018146577</v>
      </c>
      <c r="W10" s="32">
        <v>-7.7956097344185835</v>
      </c>
      <c r="X10" s="32">
        <v>-7.8131516261973246</v>
      </c>
      <c r="Y10" s="32"/>
      <c r="Z10" s="32"/>
      <c r="AA10" s="32"/>
      <c r="AB10" s="32"/>
      <c r="AC10" s="32"/>
      <c r="AD10" s="32"/>
      <c r="AE10" s="32"/>
    </row>
    <row r="11" spans="1:41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2">
        <v>35</v>
      </c>
      <c r="G11" s="40">
        <f>20%+(G10-20%)*0.95</f>
        <v>0.34249999999999997</v>
      </c>
      <c r="H11" s="23">
        <f t="shared" ref="H11:H21" si="2">(B11-$B$3)/365</f>
        <v>0.11506849315068493</v>
      </c>
      <c r="I11" s="28">
        <f t="shared" si="0"/>
        <v>31</v>
      </c>
      <c r="J11" s="29" t="s">
        <v>9</v>
      </c>
      <c r="K11" s="30">
        <v>1</v>
      </c>
      <c r="L11" s="31">
        <v>0</v>
      </c>
      <c r="M11" s="1">
        <v>1</v>
      </c>
      <c r="N11" s="1">
        <v>-1</v>
      </c>
      <c r="O11" s="1">
        <v>-1</v>
      </c>
      <c r="P11" s="32">
        <v>1.6230423494048836</v>
      </c>
      <c r="Q11" s="32">
        <v>-2.2051447333048202E-2</v>
      </c>
      <c r="R11" s="32">
        <v>-5.1346843090065875E-2</v>
      </c>
      <c r="S11" s="32">
        <v>0.75</v>
      </c>
      <c r="T11" s="32">
        <v>5.75</v>
      </c>
      <c r="U11" s="32">
        <v>10.75</v>
      </c>
      <c r="V11" s="32">
        <v>0.87304234940488357</v>
      </c>
      <c r="W11" s="32">
        <v>-10.772051447333048</v>
      </c>
      <c r="X11" s="32">
        <v>-10.801346843090066</v>
      </c>
      <c r="Y11" s="32"/>
      <c r="Z11" s="32"/>
      <c r="AA11" s="32"/>
      <c r="AB11" s="32"/>
      <c r="AC11" s="32"/>
      <c r="AD11" s="32"/>
      <c r="AE11" s="32"/>
    </row>
    <row r="12" spans="1:41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2">
        <v>35</v>
      </c>
      <c r="G12" s="40">
        <f t="shared" ref="G12:G21" si="3">20%+(G11-20%)*0.95</f>
        <v>0.33537499999999998</v>
      </c>
      <c r="H12" s="23">
        <f t="shared" si="2"/>
        <v>0.19178082191780821</v>
      </c>
      <c r="I12" s="28">
        <f t="shared" si="0"/>
        <v>29</v>
      </c>
      <c r="J12" s="29" t="s">
        <v>9</v>
      </c>
      <c r="K12" s="30">
        <v>1</v>
      </c>
      <c r="L12" s="31">
        <v>0</v>
      </c>
      <c r="M12" s="1">
        <v>1</v>
      </c>
      <c r="N12" s="1">
        <v>-1</v>
      </c>
      <c r="O12" s="1">
        <v>-1</v>
      </c>
      <c r="P12" s="32">
        <v>0.42136837983376019</v>
      </c>
      <c r="Q12" s="32">
        <v>0.61423486081020684</v>
      </c>
      <c r="R12" s="32">
        <v>-5.0352565548806183E-2</v>
      </c>
      <c r="S12" s="32">
        <v>-3.1000000000000014</v>
      </c>
      <c r="T12" s="32">
        <v>1.8999999999999986</v>
      </c>
      <c r="U12" s="32">
        <v>6.8999999999999986</v>
      </c>
      <c r="V12" s="32">
        <v>3.5213683798337616</v>
      </c>
      <c r="W12" s="32">
        <v>-6.2857651391897917</v>
      </c>
      <c r="X12" s="32">
        <v>-6.9503525655488048</v>
      </c>
      <c r="Y12" s="32"/>
      <c r="Z12" s="32"/>
      <c r="AA12" s="32"/>
      <c r="AB12" s="32"/>
      <c r="AC12" s="32"/>
      <c r="AD12" s="32"/>
      <c r="AE12" s="32"/>
    </row>
    <row r="13" spans="1:41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2">
        <v>35</v>
      </c>
      <c r="G13" s="40">
        <f t="shared" si="3"/>
        <v>0.32860624999999999</v>
      </c>
      <c r="H13" s="23">
        <f t="shared" si="2"/>
        <v>0.27945205479452057</v>
      </c>
      <c r="I13" s="28">
        <f t="shared" si="0"/>
        <v>31</v>
      </c>
      <c r="J13" s="29" t="s">
        <v>9</v>
      </c>
      <c r="K13" s="30">
        <v>1</v>
      </c>
      <c r="L13" s="31">
        <v>0</v>
      </c>
      <c r="M13" s="1">
        <v>1</v>
      </c>
      <c r="N13" s="1">
        <v>-1</v>
      </c>
      <c r="O13" s="1">
        <v>-1</v>
      </c>
      <c r="P13" s="32">
        <v>0.22757480237186467</v>
      </c>
      <c r="Q13" s="32">
        <v>1.7123136288191674</v>
      </c>
      <c r="R13" s="32">
        <v>0.10844618062191103</v>
      </c>
      <c r="S13" s="32">
        <v>-5.25</v>
      </c>
      <c r="T13" s="32">
        <v>-0.25</v>
      </c>
      <c r="U13" s="32">
        <v>4.75</v>
      </c>
      <c r="V13" s="32">
        <v>5.4775748023718647</v>
      </c>
      <c r="W13" s="32">
        <v>-3.0376863711808326</v>
      </c>
      <c r="X13" s="32">
        <v>-4.641553819378089</v>
      </c>
      <c r="Y13" s="32"/>
      <c r="Z13" s="32"/>
      <c r="AA13" s="32"/>
      <c r="AB13" s="32"/>
      <c r="AC13" s="32"/>
      <c r="AD13" s="32"/>
      <c r="AE13" s="32"/>
    </row>
    <row r="14" spans="1:41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2">
        <v>35</v>
      </c>
      <c r="G14" s="40">
        <f t="shared" si="3"/>
        <v>0.32217593749999995</v>
      </c>
      <c r="H14" s="23">
        <f t="shared" si="2"/>
        <v>0.36164383561643837</v>
      </c>
      <c r="I14" s="28">
        <f t="shared" si="0"/>
        <v>30</v>
      </c>
      <c r="J14" s="29" t="s">
        <v>9</v>
      </c>
      <c r="K14" s="30">
        <v>1</v>
      </c>
      <c r="L14" s="31">
        <v>0</v>
      </c>
      <c r="M14" s="1">
        <v>1</v>
      </c>
      <c r="N14" s="1">
        <v>-1</v>
      </c>
      <c r="O14" s="1">
        <v>-1</v>
      </c>
      <c r="P14" s="32">
        <v>0.32584188983005902</v>
      </c>
      <c r="Q14" s="32">
        <v>1.8891281152612152</v>
      </c>
      <c r="R14" s="32">
        <v>0.17880015286263529</v>
      </c>
      <c r="S14" s="32">
        <v>-5.25</v>
      </c>
      <c r="T14" s="32">
        <v>-0.25</v>
      </c>
      <c r="U14" s="32">
        <v>4.75</v>
      </c>
      <c r="V14" s="32">
        <v>5.575841889830059</v>
      </c>
      <c r="W14" s="32">
        <v>-2.8608718847387848</v>
      </c>
      <c r="X14" s="32">
        <v>-4.5711998471373647</v>
      </c>
      <c r="Y14" s="32"/>
      <c r="Z14" s="32"/>
      <c r="AA14" s="32"/>
      <c r="AB14" s="32"/>
      <c r="AC14" s="32"/>
      <c r="AD14" s="32"/>
      <c r="AE14" s="32"/>
    </row>
    <row r="15" spans="1:41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2">
        <v>35</v>
      </c>
      <c r="G15" s="40">
        <f>20%+(G14-20%)*0.95</f>
        <v>0.31606714062499996</v>
      </c>
      <c r="H15" s="23">
        <f t="shared" si="2"/>
        <v>0.44109589041095892</v>
      </c>
      <c r="I15" s="28">
        <f t="shared" si="0"/>
        <v>31</v>
      </c>
      <c r="J15" s="29" t="s">
        <v>9</v>
      </c>
      <c r="K15" s="30">
        <v>1</v>
      </c>
      <c r="L15" s="31">
        <v>0</v>
      </c>
      <c r="M15" s="1">
        <v>1</v>
      </c>
      <c r="N15" s="1">
        <v>-1</v>
      </c>
      <c r="O15" s="1">
        <v>-1</v>
      </c>
      <c r="P15" s="32">
        <v>0.41249689718847637</v>
      </c>
      <c r="Q15" s="32">
        <v>2.0281944073519256</v>
      </c>
      <c r="R15" s="32">
        <v>0.24214312212140499</v>
      </c>
      <c r="S15" s="32">
        <v>-5.25</v>
      </c>
      <c r="T15" s="32">
        <v>-0.25</v>
      </c>
      <c r="U15" s="32">
        <v>4.75</v>
      </c>
      <c r="V15" s="32">
        <v>5.6624968971884764</v>
      </c>
      <c r="W15" s="32">
        <v>-2.7218055926480744</v>
      </c>
      <c r="X15" s="32">
        <v>-4.507856877878595</v>
      </c>
      <c r="Y15" s="32"/>
      <c r="Z15" s="32"/>
      <c r="AA15" s="32"/>
      <c r="AB15" s="32"/>
      <c r="AC15" s="32"/>
      <c r="AD15" s="32"/>
      <c r="AE15" s="32"/>
    </row>
    <row r="16" spans="1:41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2">
        <v>35</v>
      </c>
      <c r="G16" s="40">
        <f t="shared" si="3"/>
        <v>0.31026378359374995</v>
      </c>
      <c r="H16" s="23">
        <f t="shared" si="2"/>
        <v>0.52876712328767128</v>
      </c>
      <c r="I16" s="28">
        <f t="shared" si="0"/>
        <v>30</v>
      </c>
      <c r="J16" s="29" t="s">
        <v>9</v>
      </c>
      <c r="K16" s="30">
        <v>1</v>
      </c>
      <c r="L16" s="31">
        <v>0</v>
      </c>
      <c r="M16" s="1">
        <v>1</v>
      </c>
      <c r="N16" s="1">
        <v>-1</v>
      </c>
      <c r="O16" s="1">
        <v>-1</v>
      </c>
      <c r="P16" s="32">
        <v>1.4440396159920823</v>
      </c>
      <c r="Q16" s="32">
        <v>0.86475992699529769</v>
      </c>
      <c r="R16" s="32">
        <v>-4.0075602279053157E-2</v>
      </c>
      <c r="S16" s="32">
        <v>-1.8999999999999986</v>
      </c>
      <c r="T16" s="32">
        <v>3.1000000000000014</v>
      </c>
      <c r="U16" s="32">
        <v>8.1000000000000014</v>
      </c>
      <c r="V16" s="32">
        <v>3.3440396159920809</v>
      </c>
      <c r="W16" s="32">
        <v>-7.2352400730047037</v>
      </c>
      <c r="X16" s="32">
        <v>-8.1400756022790546</v>
      </c>
      <c r="Y16" s="32"/>
      <c r="Z16" s="32"/>
      <c r="AA16" s="32"/>
      <c r="AB16" s="32"/>
      <c r="AC16" s="32"/>
      <c r="AD16" s="32"/>
      <c r="AE16" s="32"/>
    </row>
    <row r="17" spans="1:31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2">
        <v>35</v>
      </c>
      <c r="G17" s="40">
        <f t="shared" si="3"/>
        <v>0.30475059441406244</v>
      </c>
      <c r="H17" s="23">
        <f t="shared" si="2"/>
        <v>0.61369863013698633</v>
      </c>
      <c r="I17" s="28">
        <f t="shared" si="0"/>
        <v>31</v>
      </c>
      <c r="J17" s="29" t="s">
        <v>9</v>
      </c>
      <c r="K17" s="30">
        <v>1</v>
      </c>
      <c r="L17" s="31">
        <v>0</v>
      </c>
      <c r="M17" s="1">
        <v>1</v>
      </c>
      <c r="N17" s="1">
        <v>-1</v>
      </c>
      <c r="O17" s="1">
        <v>-1</v>
      </c>
      <c r="P17" s="32">
        <v>1.5616166109280982</v>
      </c>
      <c r="Q17" s="32">
        <v>0.95989052819748366</v>
      </c>
      <c r="R17" s="32">
        <v>-2.1235199204603816E-2</v>
      </c>
      <c r="S17" s="32">
        <v>-1.8999999999999986</v>
      </c>
      <c r="T17" s="32">
        <v>3.1000000000000014</v>
      </c>
      <c r="U17" s="32">
        <v>8.1000000000000014</v>
      </c>
      <c r="V17" s="32">
        <v>3.4616166109280968</v>
      </c>
      <c r="W17" s="32">
        <v>-7.1401094718025178</v>
      </c>
      <c r="X17" s="32">
        <v>-8.1212351992046052</v>
      </c>
      <c r="Y17" s="32"/>
      <c r="Z17" s="32"/>
      <c r="AA17" s="32"/>
      <c r="AB17" s="32"/>
      <c r="AC17" s="32"/>
      <c r="AD17" s="32"/>
      <c r="AE17" s="32"/>
    </row>
    <row r="18" spans="1:31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2">
        <v>35</v>
      </c>
      <c r="G18" s="40">
        <f t="shared" si="3"/>
        <v>0.29951306469335931</v>
      </c>
      <c r="H18" s="23">
        <f t="shared" si="2"/>
        <v>0.69315068493150689</v>
      </c>
      <c r="I18" s="28">
        <f t="shared" si="0"/>
        <v>31</v>
      </c>
      <c r="J18" s="29" t="s">
        <v>9</v>
      </c>
      <c r="K18" s="30">
        <v>1</v>
      </c>
      <c r="L18" s="31">
        <v>0</v>
      </c>
      <c r="M18" s="1">
        <v>1</v>
      </c>
      <c r="N18" s="1">
        <v>-1</v>
      </c>
      <c r="O18" s="1">
        <v>-1</v>
      </c>
      <c r="P18" s="32">
        <v>1.658135612258274</v>
      </c>
      <c r="Q18" s="32">
        <v>1.038861117693493</v>
      </c>
      <c r="R18" s="32">
        <v>-2.5412537741473784E-3</v>
      </c>
      <c r="S18" s="32">
        <v>-1.8999999999999986</v>
      </c>
      <c r="T18" s="32">
        <v>3.1000000000000014</v>
      </c>
      <c r="U18" s="32">
        <v>8.1000000000000014</v>
      </c>
      <c r="V18" s="32">
        <v>3.5581356122582726</v>
      </c>
      <c r="W18" s="32">
        <v>-7.0611388823065084</v>
      </c>
      <c r="X18" s="32">
        <v>-8.1025412537741488</v>
      </c>
      <c r="Y18" s="32"/>
      <c r="Z18" s="32"/>
      <c r="AA18" s="32"/>
      <c r="AB18" s="32"/>
      <c r="AC18" s="32"/>
      <c r="AD18" s="32"/>
      <c r="AE18" s="32"/>
    </row>
    <row r="19" spans="1:31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2">
        <v>35</v>
      </c>
      <c r="G19" s="40">
        <f t="shared" si="3"/>
        <v>0.29453741145869133</v>
      </c>
      <c r="H19" s="23">
        <f t="shared" si="2"/>
        <v>0.78082191780821919</v>
      </c>
      <c r="I19" s="28">
        <f t="shared" si="0"/>
        <v>30</v>
      </c>
      <c r="J19" s="29" t="s">
        <v>9</v>
      </c>
      <c r="K19" s="30">
        <v>1</v>
      </c>
      <c r="L19" s="31">
        <v>0</v>
      </c>
      <c r="M19" s="1">
        <v>1</v>
      </c>
      <c r="N19" s="1">
        <v>-1</v>
      </c>
      <c r="O19" s="1">
        <v>-1</v>
      </c>
      <c r="P19" s="32">
        <v>4.9344235403491901</v>
      </c>
      <c r="Q19" s="32">
        <v>6.9827590650938021E-2</v>
      </c>
      <c r="R19" s="32">
        <v>-0.23481614705019638</v>
      </c>
      <c r="S19" s="32">
        <v>3.75</v>
      </c>
      <c r="T19" s="32">
        <v>8.75</v>
      </c>
      <c r="U19" s="32">
        <v>13.75</v>
      </c>
      <c r="V19" s="32">
        <v>1.1844235403491901</v>
      </c>
      <c r="W19" s="32">
        <v>-13.680172409349062</v>
      </c>
      <c r="X19" s="32">
        <v>-13.984816147050196</v>
      </c>
      <c r="Y19" s="32"/>
      <c r="Z19" s="32"/>
      <c r="AA19" s="32"/>
      <c r="AB19" s="32"/>
      <c r="AC19" s="32"/>
      <c r="AD19" s="32"/>
      <c r="AE19" s="32"/>
    </row>
    <row r="20" spans="1:31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2">
        <v>35</v>
      </c>
      <c r="G20" s="40">
        <f t="shared" si="3"/>
        <v>0.28981054088575675</v>
      </c>
      <c r="H20" s="23">
        <f t="shared" si="2"/>
        <v>0.86301369863013699</v>
      </c>
      <c r="I20" s="28">
        <f t="shared" si="0"/>
        <v>31</v>
      </c>
      <c r="J20" s="29" t="s">
        <v>9</v>
      </c>
      <c r="K20" s="30">
        <v>1</v>
      </c>
      <c r="L20" s="31">
        <v>0</v>
      </c>
      <c r="M20" s="1">
        <v>1</v>
      </c>
      <c r="N20" s="1">
        <v>-1</v>
      </c>
      <c r="O20" s="1">
        <v>-1</v>
      </c>
      <c r="P20" s="32">
        <v>5.0068095489748217</v>
      </c>
      <c r="Q20" s="32">
        <v>9.5278325206741954E-2</v>
      </c>
      <c r="R20" s="32">
        <v>-0.2439037006482323</v>
      </c>
      <c r="S20" s="32">
        <v>3.75</v>
      </c>
      <c r="T20" s="32">
        <v>8.75</v>
      </c>
      <c r="U20" s="32">
        <v>13.75</v>
      </c>
      <c r="V20" s="32">
        <v>1.2568095489748217</v>
      </c>
      <c r="W20" s="32">
        <v>-13.654721674793258</v>
      </c>
      <c r="X20" s="32">
        <v>-13.993903700648232</v>
      </c>
      <c r="Y20" s="32"/>
      <c r="Z20" s="32"/>
      <c r="AA20" s="32"/>
      <c r="AB20" s="32"/>
      <c r="AC20" s="32"/>
      <c r="AD20" s="32"/>
      <c r="AE20" s="32"/>
    </row>
    <row r="21" spans="1:31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2">
        <v>35</v>
      </c>
      <c r="G21" s="40">
        <f t="shared" si="3"/>
        <v>0.28532001384146888</v>
      </c>
      <c r="H21" s="23">
        <f t="shared" si="2"/>
        <v>0.94246575342465755</v>
      </c>
      <c r="I21" s="28">
        <f t="shared" si="0"/>
        <v>30</v>
      </c>
      <c r="J21" s="29" t="s">
        <v>9</v>
      </c>
      <c r="K21" s="30">
        <v>1</v>
      </c>
      <c r="L21" s="31">
        <v>0</v>
      </c>
      <c r="M21" s="1">
        <v>1</v>
      </c>
      <c r="N21" s="1">
        <v>-1</v>
      </c>
      <c r="O21" s="1">
        <v>-1</v>
      </c>
      <c r="P21" s="32">
        <v>5.0736811380351483</v>
      </c>
      <c r="Q21" s="32">
        <v>0.12082194878772867</v>
      </c>
      <c r="R21" s="32">
        <v>-0.25047390073603282</v>
      </c>
      <c r="S21" s="32">
        <v>3.75</v>
      </c>
      <c r="T21" s="32">
        <v>8.75</v>
      </c>
      <c r="U21" s="32">
        <v>13.75</v>
      </c>
      <c r="V21" s="32">
        <v>1.3236811380351483</v>
      </c>
      <c r="W21" s="32">
        <v>-13.629178051212271</v>
      </c>
      <c r="X21" s="32">
        <v>-14.000473900736033</v>
      </c>
      <c r="Y21" s="32"/>
      <c r="Z21" s="32"/>
      <c r="AA21" s="32"/>
      <c r="AB21" s="32"/>
      <c r="AC21" s="32"/>
      <c r="AD21" s="32"/>
      <c r="AE21" s="32"/>
    </row>
    <row r="22" spans="1:31" x14ac:dyDescent="0.35">
      <c r="A22" s="19"/>
      <c r="B22" s="20"/>
      <c r="C22" s="21"/>
      <c r="D22" s="21"/>
      <c r="E22" s="21"/>
      <c r="F22" s="21"/>
      <c r="G22" s="21"/>
      <c r="H22" s="21"/>
      <c r="I22" s="21"/>
      <c r="J22" s="22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31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</sheetData>
  <phoneticPr fontId="7" type="noConversion"/>
  <dataValidations count="1">
    <dataValidation type="list" allowBlank="1" showInputMessage="1" showErrorMessage="1" sqref="J10:J21" xr:uid="{01E61A51-BC31-4FD2-8C44-C7F015F763DC}">
      <formula1>$K$5:$K$7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D0D0A-0E33-434B-8A60-147191C2C185}">
  <sheetPr codeName="Sheet4"/>
  <dimension ref="A1:AG23"/>
  <sheetViews>
    <sheetView topLeftCell="H1" zoomScale="55" zoomScaleNormal="55" workbookViewId="0">
      <selection activeCell="L11" sqref="L11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30.81640625" style="1" bestFit="1" customWidth="1"/>
    <col min="12" max="12" width="6.453125" style="1" bestFit="1" customWidth="1"/>
    <col min="13" max="13" width="15.08984375" style="1" bestFit="1" customWidth="1"/>
    <col min="14" max="14" width="20.54296875" style="1" bestFit="1" customWidth="1"/>
    <col min="15" max="15" width="23.26953125" style="1" bestFit="1" customWidth="1"/>
    <col min="16" max="16" width="18.26953125" style="1" bestFit="1" customWidth="1"/>
    <col min="17" max="17" width="11" style="1" bestFit="1" customWidth="1"/>
    <col min="18" max="18" width="5.81640625" style="1" bestFit="1" customWidth="1"/>
    <col min="19" max="19" width="11.90625" style="1" bestFit="1" customWidth="1"/>
    <col min="20" max="20" width="12.6328125" style="1" bestFit="1" customWidth="1"/>
    <col min="21" max="21" width="13.7265625" style="1" bestFit="1" customWidth="1"/>
    <col min="22" max="22" width="14.1796875" style="1" bestFit="1" customWidth="1"/>
    <col min="23" max="23" width="13.7265625" style="1" bestFit="1" customWidth="1"/>
    <col min="24" max="24" width="14.1796875" style="1" bestFit="1" customWidth="1"/>
    <col min="25" max="25" width="16.7265625" style="1" bestFit="1" customWidth="1"/>
    <col min="26" max="26" width="17.1796875" style="1" bestFit="1" customWidth="1"/>
    <col min="27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G3" s="4" t="s">
        <v>1</v>
      </c>
      <c r="H3" s="5"/>
      <c r="I3" s="5"/>
      <c r="J3" s="6">
        <v>0.5</v>
      </c>
    </row>
    <row r="4" spans="1:33" x14ac:dyDescent="0.35">
      <c r="G4" s="7" t="s">
        <v>2</v>
      </c>
      <c r="H4" s="8"/>
      <c r="I4" s="8"/>
      <c r="J4" s="9">
        <v>0.37</v>
      </c>
    </row>
    <row r="5" spans="1:33" x14ac:dyDescent="0.35">
      <c r="G5" s="7" t="s">
        <v>24</v>
      </c>
      <c r="H5" s="8"/>
      <c r="I5" s="8" t="s">
        <v>9</v>
      </c>
      <c r="J5" s="11">
        <v>1</v>
      </c>
    </row>
    <row r="6" spans="1:33" x14ac:dyDescent="0.35">
      <c r="B6" s="10"/>
      <c r="G6" s="7" t="s">
        <v>3</v>
      </c>
      <c r="H6" s="8"/>
      <c r="I6" s="8" t="s">
        <v>4</v>
      </c>
      <c r="J6" s="11">
        <v>0.35</v>
      </c>
    </row>
    <row r="7" spans="1:33" ht="15" thickBot="1" x14ac:dyDescent="0.4">
      <c r="G7" s="12" t="s">
        <v>5</v>
      </c>
      <c r="H7" s="13"/>
      <c r="I7" s="13" t="s">
        <v>6</v>
      </c>
      <c r="J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4" t="s">
        <v>15</v>
      </c>
      <c r="E9" s="34" t="s">
        <v>16</v>
      </c>
      <c r="F9" s="34" t="s">
        <v>17</v>
      </c>
      <c r="G9" s="37" t="s">
        <v>18</v>
      </c>
      <c r="H9" s="37" t="s">
        <v>31</v>
      </c>
      <c r="I9" s="38" t="s">
        <v>10</v>
      </c>
      <c r="J9" s="34" t="s">
        <v>11</v>
      </c>
      <c r="K9" s="39" t="s">
        <v>12</v>
      </c>
      <c r="L9" s="17" t="s">
        <v>13</v>
      </c>
      <c r="M9" s="27" t="s">
        <v>19</v>
      </c>
      <c r="N9" s="27" t="s">
        <v>20</v>
      </c>
      <c r="O9" s="27" t="s">
        <v>21</v>
      </c>
      <c r="P9" s="27" t="s">
        <v>22</v>
      </c>
      <c r="Q9" s="27" t="s">
        <v>23</v>
      </c>
      <c r="R9" s="27" t="s">
        <v>25</v>
      </c>
      <c r="S9" s="27" t="s">
        <v>26</v>
      </c>
      <c r="T9" s="27" t="s">
        <v>27</v>
      </c>
      <c r="U9" s="27" t="s">
        <v>39</v>
      </c>
      <c r="V9" s="27" t="s">
        <v>38</v>
      </c>
      <c r="W9" s="27" t="s">
        <v>37</v>
      </c>
      <c r="X9" s="27" t="s">
        <v>36</v>
      </c>
      <c r="Y9" s="27" t="s">
        <v>35</v>
      </c>
      <c r="Z9" s="27" t="s">
        <v>34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43831</v>
      </c>
      <c r="B10" s="20">
        <f>WORKDAY(A10,-7)</f>
        <v>43822</v>
      </c>
      <c r="C10" s="35">
        <v>42.8</v>
      </c>
      <c r="D10" s="36">
        <v>53.75</v>
      </c>
      <c r="E10" s="36">
        <v>36.35</v>
      </c>
      <c r="F10" s="36">
        <v>15.585000000000001</v>
      </c>
      <c r="G10" s="36">
        <v>25.3</v>
      </c>
      <c r="H10" s="42">
        <v>0</v>
      </c>
      <c r="I10" s="40">
        <v>0.35</v>
      </c>
      <c r="J10" s="40">
        <v>0.42</v>
      </c>
      <c r="K10" s="41">
        <v>0.6</v>
      </c>
      <c r="L10" s="23">
        <f>(B10-$B$3)/365</f>
        <v>3.0136986301369864E-2</v>
      </c>
      <c r="M10" s="28">
        <f t="shared" ref="M10:M21" si="0">DAY(EOMONTH(B10,0))</f>
        <v>31</v>
      </c>
      <c r="N10" s="29" t="s">
        <v>9</v>
      </c>
      <c r="O10" s="30">
        <v>1</v>
      </c>
      <c r="P10" s="31">
        <v>0</v>
      </c>
      <c r="Q10" s="1">
        <v>1</v>
      </c>
      <c r="R10" s="32">
        <v>2.49897852155555</v>
      </c>
      <c r="S10" s="32">
        <v>2.2689999999999948</v>
      </c>
      <c r="T10" s="32">
        <v>0.2299785215555552</v>
      </c>
      <c r="U10" s="32"/>
      <c r="V10" s="32"/>
      <c r="W10" s="32"/>
      <c r="X10" s="32"/>
      <c r="Y10" s="32"/>
      <c r="Z10" s="32"/>
    </row>
    <row r="11" spans="1:33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36">
        <v>57</v>
      </c>
      <c r="E11" s="36">
        <v>39.83</v>
      </c>
      <c r="F11" s="36">
        <v>15.8</v>
      </c>
      <c r="G11" s="36">
        <v>25.3</v>
      </c>
      <c r="H11" s="42">
        <v>0</v>
      </c>
      <c r="I11" s="40">
        <f>20%+(I10-20%)*0.95</f>
        <v>0.34249999999999997</v>
      </c>
      <c r="J11" s="40">
        <f>20%+(J10-20%)*0.95</f>
        <v>0.40899999999999997</v>
      </c>
      <c r="K11" s="41">
        <f>80%+(K10-80%)*0.9</f>
        <v>0.62</v>
      </c>
      <c r="L11" s="23">
        <f t="shared" ref="L11:L21" si="2">(B11-$B$3)/365</f>
        <v>0.11506849315068493</v>
      </c>
      <c r="M11" s="28">
        <f t="shared" si="0"/>
        <v>31</v>
      </c>
      <c r="N11" s="29" t="s">
        <v>9</v>
      </c>
      <c r="O11" s="30">
        <v>1</v>
      </c>
      <c r="P11" s="31">
        <v>0</v>
      </c>
      <c r="Q11" s="1">
        <v>1</v>
      </c>
      <c r="R11" s="32">
        <v>5.1702200315934377</v>
      </c>
      <c r="S11" s="32">
        <v>4.7889999999999979</v>
      </c>
      <c r="T11" s="32">
        <v>0.38122003159343976</v>
      </c>
      <c r="U11" s="32"/>
      <c r="V11" s="32"/>
      <c r="W11" s="32"/>
      <c r="X11" s="32"/>
      <c r="Y11" s="32"/>
      <c r="Z11" s="32"/>
    </row>
    <row r="12" spans="1:33" x14ac:dyDescent="0.35">
      <c r="A12" s="19">
        <v>43891</v>
      </c>
      <c r="B12" s="20">
        <f t="shared" si="1"/>
        <v>43881</v>
      </c>
      <c r="C12" s="35">
        <v>41.9</v>
      </c>
      <c r="D12" s="36">
        <v>50.5</v>
      </c>
      <c r="E12" s="36">
        <v>37.159999999999997</v>
      </c>
      <c r="F12" s="36">
        <v>15.455</v>
      </c>
      <c r="G12" s="36">
        <v>25.3</v>
      </c>
      <c r="H12" s="42">
        <v>0</v>
      </c>
      <c r="I12" s="40">
        <f t="shared" ref="I12:J21" si="3">20%+(I11-20%)*0.95</f>
        <v>0.33537499999999998</v>
      </c>
      <c r="J12" s="40">
        <f t="shared" si="3"/>
        <v>0.39854999999999996</v>
      </c>
      <c r="K12" s="41">
        <f t="shared" ref="K12:K21" si="4">80%+(K11-80%)*0.9</f>
        <v>0.63800000000000001</v>
      </c>
      <c r="L12" s="23">
        <f t="shared" si="2"/>
        <v>0.19178082191780821</v>
      </c>
      <c r="M12" s="28">
        <f t="shared" si="0"/>
        <v>29</v>
      </c>
      <c r="N12" s="29" t="s">
        <v>9</v>
      </c>
      <c r="O12" s="30">
        <v>1</v>
      </c>
      <c r="P12" s="31">
        <v>0</v>
      </c>
      <c r="Q12" s="1">
        <v>1</v>
      </c>
      <c r="R12" s="32">
        <v>3.1108211377132662</v>
      </c>
      <c r="S12" s="32">
        <v>1.6289999999999978</v>
      </c>
      <c r="T12" s="32">
        <v>1.4818211377132684</v>
      </c>
      <c r="U12" s="32"/>
      <c r="V12" s="32"/>
      <c r="W12" s="32"/>
      <c r="X12" s="32"/>
      <c r="Y12" s="32"/>
      <c r="Z12" s="32"/>
    </row>
    <row r="13" spans="1:33" x14ac:dyDescent="0.35">
      <c r="A13" s="19">
        <v>43922</v>
      </c>
      <c r="B13" s="20">
        <f t="shared" si="1"/>
        <v>43913</v>
      </c>
      <c r="C13" s="35">
        <v>39.75</v>
      </c>
      <c r="D13" s="36">
        <v>45.6</v>
      </c>
      <c r="E13" s="36">
        <v>36.36</v>
      </c>
      <c r="F13" s="36">
        <v>14.753</v>
      </c>
      <c r="G13" s="36">
        <v>25.3</v>
      </c>
      <c r="H13" s="42">
        <v>0</v>
      </c>
      <c r="I13" s="40">
        <f t="shared" si="3"/>
        <v>0.32860624999999999</v>
      </c>
      <c r="J13" s="40">
        <f t="shared" si="3"/>
        <v>0.38862249999999998</v>
      </c>
      <c r="K13" s="41">
        <f t="shared" si="4"/>
        <v>0.6542</v>
      </c>
      <c r="L13" s="23">
        <f t="shared" si="2"/>
        <v>0.27945205479452057</v>
      </c>
      <c r="M13" s="28">
        <f t="shared" si="0"/>
        <v>31</v>
      </c>
      <c r="N13" s="29" t="s">
        <v>9</v>
      </c>
      <c r="O13" s="30">
        <v>1</v>
      </c>
      <c r="P13" s="31">
        <v>0</v>
      </c>
      <c r="Q13" s="1">
        <v>1</v>
      </c>
      <c r="R13" s="32">
        <v>2.9013144742642396</v>
      </c>
      <c r="S13" s="32">
        <v>0.88299999999999912</v>
      </c>
      <c r="T13" s="32">
        <v>2.0183144742642405</v>
      </c>
      <c r="U13" s="32"/>
      <c r="V13" s="32"/>
      <c r="W13" s="32"/>
      <c r="X13" s="32"/>
      <c r="Y13" s="32"/>
      <c r="Z13" s="32"/>
    </row>
    <row r="14" spans="1:33" x14ac:dyDescent="0.35">
      <c r="A14" s="19">
        <v>43952</v>
      </c>
      <c r="B14" s="20">
        <f t="shared" si="1"/>
        <v>43943</v>
      </c>
      <c r="C14" s="35">
        <v>39.75</v>
      </c>
      <c r="D14" s="36">
        <v>45.6</v>
      </c>
      <c r="E14" s="36">
        <v>36.75</v>
      </c>
      <c r="F14" s="36">
        <v>14.484999999999999</v>
      </c>
      <c r="G14" s="36">
        <v>25.3</v>
      </c>
      <c r="H14" s="42">
        <v>0</v>
      </c>
      <c r="I14" s="40">
        <f t="shared" si="3"/>
        <v>0.32217593749999995</v>
      </c>
      <c r="J14" s="40">
        <f t="shared" si="3"/>
        <v>0.379191375</v>
      </c>
      <c r="K14" s="41">
        <f t="shared" si="4"/>
        <v>0.66878000000000004</v>
      </c>
      <c r="L14" s="23">
        <f t="shared" si="2"/>
        <v>0.36164383561643837</v>
      </c>
      <c r="M14" s="28">
        <f t="shared" si="0"/>
        <v>30</v>
      </c>
      <c r="N14" s="29" t="s">
        <v>9</v>
      </c>
      <c r="O14" s="30">
        <v>1</v>
      </c>
      <c r="P14" s="31">
        <v>0</v>
      </c>
      <c r="Q14" s="1">
        <v>1</v>
      </c>
      <c r="R14" s="32">
        <v>3.4087071708791967</v>
      </c>
      <c r="S14" s="32">
        <v>1.4190000000000005</v>
      </c>
      <c r="T14" s="32">
        <v>1.9897071708791962</v>
      </c>
      <c r="U14" s="32"/>
      <c r="V14" s="32"/>
      <c r="W14" s="32"/>
      <c r="X14" s="32"/>
      <c r="Y14" s="32"/>
      <c r="Z14" s="32"/>
    </row>
    <row r="15" spans="1:33" x14ac:dyDescent="0.35">
      <c r="A15" s="19">
        <v>43983</v>
      </c>
      <c r="B15" s="20">
        <f t="shared" si="1"/>
        <v>43972</v>
      </c>
      <c r="C15" s="35">
        <v>39.75</v>
      </c>
      <c r="D15" s="36">
        <v>45.6</v>
      </c>
      <c r="E15" s="36">
        <v>36.36</v>
      </c>
      <c r="F15" s="36">
        <v>14.353</v>
      </c>
      <c r="G15" s="36">
        <v>25.3</v>
      </c>
      <c r="H15" s="42">
        <v>0</v>
      </c>
      <c r="I15" s="40">
        <f>20%+(I14-20%)*0.95</f>
        <v>0.31606714062499996</v>
      </c>
      <c r="J15" s="40">
        <f t="shared" si="3"/>
        <v>0.37023180624999996</v>
      </c>
      <c r="K15" s="41">
        <f t="shared" si="4"/>
        <v>0.68190200000000001</v>
      </c>
      <c r="L15" s="23">
        <f t="shared" si="2"/>
        <v>0.44109589041095892</v>
      </c>
      <c r="M15" s="28">
        <f t="shared" si="0"/>
        <v>31</v>
      </c>
      <c r="N15" s="29" t="s">
        <v>9</v>
      </c>
      <c r="O15" s="30">
        <v>1</v>
      </c>
      <c r="P15" s="31">
        <v>0</v>
      </c>
      <c r="Q15" s="1">
        <v>1</v>
      </c>
      <c r="R15" s="32">
        <v>3.713190546895202</v>
      </c>
      <c r="S15" s="32">
        <v>1.6829999999999998</v>
      </c>
      <c r="T15" s="32">
        <v>2.0301905468952022</v>
      </c>
      <c r="U15" s="32"/>
      <c r="V15" s="32"/>
      <c r="W15" s="32"/>
      <c r="X15" s="32"/>
      <c r="Y15" s="32"/>
      <c r="Z15" s="32"/>
    </row>
    <row r="16" spans="1:33" x14ac:dyDescent="0.35">
      <c r="A16" s="19">
        <v>44013</v>
      </c>
      <c r="B16" s="20">
        <f t="shared" si="1"/>
        <v>44004</v>
      </c>
      <c r="C16" s="35">
        <v>43.1</v>
      </c>
      <c r="D16" s="36">
        <v>49.6</v>
      </c>
      <c r="E16" s="36">
        <v>39.270000000000003</v>
      </c>
      <c r="F16" s="36">
        <v>14.363</v>
      </c>
      <c r="G16" s="36">
        <v>25.3</v>
      </c>
      <c r="H16" s="42">
        <v>0</v>
      </c>
      <c r="I16" s="40">
        <f t="shared" si="3"/>
        <v>0.31026378359374995</v>
      </c>
      <c r="J16" s="40">
        <f t="shared" si="3"/>
        <v>0.36172021593749992</v>
      </c>
      <c r="K16" s="41">
        <f t="shared" si="4"/>
        <v>0.69371179999999999</v>
      </c>
      <c r="L16" s="23">
        <f t="shared" si="2"/>
        <v>0.52876712328767128</v>
      </c>
      <c r="M16" s="28">
        <f t="shared" si="0"/>
        <v>30</v>
      </c>
      <c r="N16" s="29" t="s">
        <v>9</v>
      </c>
      <c r="O16" s="30">
        <v>1</v>
      </c>
      <c r="P16" s="31">
        <v>0</v>
      </c>
      <c r="Q16" s="1">
        <v>1</v>
      </c>
      <c r="R16" s="32">
        <v>6.2025359592316924</v>
      </c>
      <c r="S16" s="32">
        <v>5.0130000000000017</v>
      </c>
      <c r="T16" s="32">
        <v>1.1895359592316908</v>
      </c>
      <c r="U16" s="32"/>
      <c r="V16" s="32"/>
      <c r="W16" s="32"/>
      <c r="X16" s="32"/>
      <c r="Y16" s="32"/>
      <c r="Z16" s="32"/>
    </row>
    <row r="17" spans="1:26" x14ac:dyDescent="0.35">
      <c r="A17" s="19">
        <v>44044</v>
      </c>
      <c r="B17" s="20">
        <f t="shared" si="1"/>
        <v>44035</v>
      </c>
      <c r="C17" s="35">
        <v>43.1</v>
      </c>
      <c r="D17" s="36">
        <v>49.6</v>
      </c>
      <c r="E17" s="36">
        <v>39.770000000000003</v>
      </c>
      <c r="F17" s="36">
        <v>14.583</v>
      </c>
      <c r="G17" s="36">
        <v>25.3</v>
      </c>
      <c r="H17" s="42">
        <v>0</v>
      </c>
      <c r="I17" s="40">
        <f t="shared" si="3"/>
        <v>0.30475059441406244</v>
      </c>
      <c r="J17" s="40">
        <f t="shared" si="3"/>
        <v>0.35363420514062494</v>
      </c>
      <c r="K17" s="41">
        <f t="shared" si="4"/>
        <v>0.70434061999999997</v>
      </c>
      <c r="L17" s="23">
        <f t="shared" si="2"/>
        <v>0.61369863013698633</v>
      </c>
      <c r="M17" s="28">
        <f t="shared" si="0"/>
        <v>31</v>
      </c>
      <c r="N17" s="29" t="s">
        <v>9</v>
      </c>
      <c r="O17" s="30">
        <v>1</v>
      </c>
      <c r="P17" s="31">
        <v>0</v>
      </c>
      <c r="Q17" s="1">
        <v>1</v>
      </c>
      <c r="R17" s="32">
        <v>5.9946105757761394</v>
      </c>
      <c r="S17" s="32">
        <v>4.5730000000000004</v>
      </c>
      <c r="T17" s="32">
        <v>1.421610575776139</v>
      </c>
      <c r="U17" s="32"/>
      <c r="V17" s="32"/>
      <c r="W17" s="32"/>
      <c r="X17" s="32"/>
      <c r="Y17" s="32"/>
      <c r="Z17" s="32"/>
    </row>
    <row r="18" spans="1:26" x14ac:dyDescent="0.35">
      <c r="A18" s="19">
        <v>44075</v>
      </c>
      <c r="B18" s="20">
        <f t="shared" si="1"/>
        <v>44064</v>
      </c>
      <c r="C18" s="35">
        <v>43.1</v>
      </c>
      <c r="D18" s="36">
        <v>49.6</v>
      </c>
      <c r="E18" s="36">
        <v>39.340000000000003</v>
      </c>
      <c r="F18" s="36">
        <v>14.77</v>
      </c>
      <c r="G18" s="36">
        <v>25.3</v>
      </c>
      <c r="H18" s="42">
        <v>0</v>
      </c>
      <c r="I18" s="40">
        <f t="shared" si="3"/>
        <v>0.29951306469335931</v>
      </c>
      <c r="J18" s="40">
        <f t="shared" si="3"/>
        <v>0.3459524948835937</v>
      </c>
      <c r="K18" s="41">
        <f t="shared" si="4"/>
        <v>0.71390655800000002</v>
      </c>
      <c r="L18" s="23">
        <f t="shared" si="2"/>
        <v>0.69315068493150689</v>
      </c>
      <c r="M18" s="28">
        <f t="shared" si="0"/>
        <v>31</v>
      </c>
      <c r="N18" s="29" t="s">
        <v>9</v>
      </c>
      <c r="O18" s="30">
        <v>1</v>
      </c>
      <c r="P18" s="31">
        <v>0</v>
      </c>
      <c r="Q18" s="1">
        <v>1</v>
      </c>
      <c r="R18" s="32">
        <v>5.8167824313037357</v>
      </c>
      <c r="S18" s="32">
        <v>4.1990000000000016</v>
      </c>
      <c r="T18" s="32">
        <v>1.6177824313037341</v>
      </c>
      <c r="U18" s="32"/>
      <c r="V18" s="32"/>
      <c r="W18" s="32"/>
      <c r="X18" s="32"/>
      <c r="Y18" s="32"/>
      <c r="Z18" s="32"/>
    </row>
    <row r="19" spans="1:26" x14ac:dyDescent="0.35">
      <c r="A19" s="19">
        <v>44105</v>
      </c>
      <c r="B19" s="20">
        <f t="shared" si="1"/>
        <v>44096</v>
      </c>
      <c r="C19" s="35">
        <v>48.75</v>
      </c>
      <c r="D19" s="36">
        <v>60.65</v>
      </c>
      <c r="E19" s="36">
        <v>42.22</v>
      </c>
      <c r="F19" s="36">
        <v>16.026</v>
      </c>
      <c r="G19" s="36">
        <v>25.3</v>
      </c>
      <c r="H19" s="42">
        <v>0</v>
      </c>
      <c r="I19" s="40">
        <f t="shared" si="3"/>
        <v>0.29453741145869133</v>
      </c>
      <c r="J19" s="40">
        <f t="shared" si="3"/>
        <v>0.33865487013941398</v>
      </c>
      <c r="K19" s="41">
        <f t="shared" si="4"/>
        <v>0.72251590220000006</v>
      </c>
      <c r="L19" s="23">
        <f t="shared" si="2"/>
        <v>0.78082191780821919</v>
      </c>
      <c r="M19" s="28">
        <f t="shared" si="0"/>
        <v>30</v>
      </c>
      <c r="N19" s="29" t="s">
        <v>9</v>
      </c>
      <c r="O19" s="30">
        <v>1</v>
      </c>
      <c r="P19" s="31">
        <v>0</v>
      </c>
      <c r="Q19" s="1">
        <v>1</v>
      </c>
      <c r="R19" s="32">
        <v>8.4807693816845493</v>
      </c>
      <c r="S19" s="32">
        <v>7.3369999999999997</v>
      </c>
      <c r="T19" s="32">
        <v>1.1437693816845496</v>
      </c>
      <c r="U19" s="32"/>
      <c r="V19" s="32"/>
      <c r="W19" s="32"/>
      <c r="X19" s="32"/>
      <c r="Y19" s="32"/>
      <c r="Z19" s="32"/>
    </row>
    <row r="20" spans="1:26" x14ac:dyDescent="0.35">
      <c r="A20" s="19">
        <v>44136</v>
      </c>
      <c r="B20" s="20">
        <f t="shared" si="1"/>
        <v>44126</v>
      </c>
      <c r="C20" s="35">
        <v>48.75</v>
      </c>
      <c r="D20" s="36">
        <v>60.65</v>
      </c>
      <c r="E20" s="36">
        <v>42.34</v>
      </c>
      <c r="F20" s="36">
        <v>17.968</v>
      </c>
      <c r="G20" s="36">
        <v>25.3</v>
      </c>
      <c r="H20" s="42">
        <v>0</v>
      </c>
      <c r="I20" s="40">
        <f t="shared" si="3"/>
        <v>0.28981054088575675</v>
      </c>
      <c r="J20" s="40">
        <f t="shared" si="3"/>
        <v>0.33172212663244327</v>
      </c>
      <c r="K20" s="41">
        <f t="shared" si="4"/>
        <v>0.73026431198000008</v>
      </c>
      <c r="L20" s="23">
        <f t="shared" si="2"/>
        <v>0.86301369863013699</v>
      </c>
      <c r="M20" s="28">
        <f t="shared" si="0"/>
        <v>31</v>
      </c>
      <c r="N20" s="29" t="s">
        <v>9</v>
      </c>
      <c r="O20" s="30">
        <v>1</v>
      </c>
      <c r="P20" s="31">
        <v>0</v>
      </c>
      <c r="Q20" s="1">
        <v>1</v>
      </c>
      <c r="R20" s="32">
        <v>5.9107012190898303</v>
      </c>
      <c r="S20" s="32">
        <v>3.4529999999999994</v>
      </c>
      <c r="T20" s="32">
        <v>2.4577012190898309</v>
      </c>
      <c r="U20" s="32"/>
      <c r="V20" s="32"/>
      <c r="W20" s="32"/>
      <c r="X20" s="32"/>
      <c r="Y20" s="32"/>
      <c r="Z20" s="32"/>
    </row>
    <row r="21" spans="1:26" x14ac:dyDescent="0.35">
      <c r="A21" s="19">
        <v>44166</v>
      </c>
      <c r="B21" s="20">
        <f t="shared" si="1"/>
        <v>44155</v>
      </c>
      <c r="C21" s="35">
        <v>48.75</v>
      </c>
      <c r="D21" s="36">
        <v>60.65</v>
      </c>
      <c r="E21" s="36">
        <v>41.73</v>
      </c>
      <c r="F21" s="36">
        <v>18.376000000000001</v>
      </c>
      <c r="G21" s="36">
        <v>25.3</v>
      </c>
      <c r="H21" s="42">
        <v>0</v>
      </c>
      <c r="I21" s="40">
        <f t="shared" si="3"/>
        <v>0.28532001384146888</v>
      </c>
      <c r="J21" s="40">
        <f t="shared" si="3"/>
        <v>0.32513602030082112</v>
      </c>
      <c r="K21" s="41">
        <f t="shared" si="4"/>
        <v>0.73723788078200003</v>
      </c>
      <c r="L21" s="23">
        <f t="shared" si="2"/>
        <v>0.94246575342465755</v>
      </c>
      <c r="M21" s="28">
        <f t="shared" si="0"/>
        <v>30</v>
      </c>
      <c r="N21" s="29" t="s">
        <v>9</v>
      </c>
      <c r="O21" s="30">
        <v>1</v>
      </c>
      <c r="P21" s="31">
        <v>0</v>
      </c>
      <c r="Q21" s="1">
        <v>1</v>
      </c>
      <c r="R21" s="32">
        <v>5.4879435650209736</v>
      </c>
      <c r="S21" s="32">
        <v>2.6369999999999969</v>
      </c>
      <c r="T21" s="32">
        <v>2.8509435650209767</v>
      </c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N10:N21" xr:uid="{B3206E77-3DCC-4FE9-9738-AE071B319A1F}">
      <formula1>$I$5:$I$7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DE37B-829A-4AFB-A1C6-4E35108B180F}">
  <sheetPr codeName="Sheet5"/>
  <dimension ref="A1:AS23"/>
  <sheetViews>
    <sheetView tabSelected="1" topLeftCell="R1" zoomScale="55" zoomScaleNormal="55" workbookViewId="0">
      <selection activeCell="T9" sqref="T9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30.816406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15" width="13.26953125" style="1" bestFit="1" customWidth="1"/>
    <col min="16" max="16" width="7.36328125" style="1" bestFit="1" customWidth="1"/>
    <col min="17" max="17" width="5.08984375" style="1" bestFit="1" customWidth="1"/>
    <col min="18" max="19" width="4.1796875" style="1" bestFit="1" customWidth="1"/>
    <col min="20" max="21" width="7.54296875" style="1" bestFit="1" customWidth="1"/>
    <col min="22" max="22" width="12.6328125" style="1" bestFit="1" customWidth="1"/>
    <col min="23" max="23" width="12.36328125" style="1" bestFit="1" customWidth="1"/>
    <col min="24" max="24" width="13.08984375" style="1" bestFit="1" customWidth="1"/>
    <col min="25" max="25" width="12.7265625" style="1" bestFit="1" customWidth="1"/>
    <col min="26" max="26" width="14.90625" style="1" bestFit="1" customWidth="1"/>
    <col min="27" max="27" width="14.6328125" style="1" bestFit="1" customWidth="1"/>
    <col min="28" max="28" width="14.81640625" style="1" bestFit="1" customWidth="1"/>
    <col min="29" max="29" width="14.36328125" style="1" bestFit="1" customWidth="1"/>
    <col min="30" max="30" width="14.54296875" style="1" bestFit="1" customWidth="1"/>
    <col min="31" max="31" width="14.26953125" style="1" bestFit="1" customWidth="1"/>
    <col min="32" max="32" width="14.453125" style="1" bestFit="1" customWidth="1"/>
    <col min="33" max="33" width="14" style="1" bestFit="1" customWidth="1"/>
    <col min="34" max="34" width="17.36328125" style="1" bestFit="1" customWidth="1"/>
    <col min="35" max="36" width="17.08984375" style="1" bestFit="1" customWidth="1"/>
    <col min="37" max="37" width="16.7265625" style="1" bestFit="1" customWidth="1"/>
    <col min="38" max="38" width="11.26953125" style="1" bestFit="1" customWidth="1"/>
    <col min="39" max="16384" width="8.7265625" style="1"/>
  </cols>
  <sheetData>
    <row r="1" spans="1:45" ht="40" customHeight="1" x14ac:dyDescent="0.35"/>
    <row r="2" spans="1:45" ht="15" thickBot="1" x14ac:dyDescent="0.4"/>
    <row r="3" spans="1:45" ht="15" thickBot="1" x14ac:dyDescent="0.4">
      <c r="A3" s="2" t="s">
        <v>0</v>
      </c>
      <c r="B3" s="3">
        <v>43811</v>
      </c>
      <c r="G3" s="4" t="s">
        <v>1</v>
      </c>
      <c r="H3" s="5"/>
      <c r="I3" s="5"/>
      <c r="J3" s="6">
        <v>0.5</v>
      </c>
    </row>
    <row r="4" spans="1:45" x14ac:dyDescent="0.35">
      <c r="G4" s="7" t="s">
        <v>2</v>
      </c>
      <c r="H4" s="8"/>
      <c r="I4" s="8"/>
      <c r="J4" s="9">
        <v>0.37</v>
      </c>
    </row>
    <row r="5" spans="1:45" x14ac:dyDescent="0.35">
      <c r="G5" s="7" t="s">
        <v>24</v>
      </c>
      <c r="H5" s="8"/>
      <c r="I5" s="8" t="s">
        <v>9</v>
      </c>
      <c r="J5" s="11">
        <v>1</v>
      </c>
    </row>
    <row r="6" spans="1:45" x14ac:dyDescent="0.35">
      <c r="B6" s="10"/>
      <c r="G6" s="7" t="s">
        <v>3</v>
      </c>
      <c r="H6" s="8"/>
      <c r="I6" s="8" t="s">
        <v>4</v>
      </c>
      <c r="J6" s="11">
        <v>0.35</v>
      </c>
    </row>
    <row r="7" spans="1:45" ht="15" thickBot="1" x14ac:dyDescent="0.4">
      <c r="G7" s="12" t="s">
        <v>5</v>
      </c>
      <c r="H7" s="13"/>
      <c r="I7" s="13" t="s">
        <v>6</v>
      </c>
      <c r="J7" s="14">
        <v>0.65</v>
      </c>
    </row>
    <row r="8" spans="1:45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45" ht="14.5" customHeight="1" x14ac:dyDescent="0.35">
      <c r="A9" s="26" t="s">
        <v>7</v>
      </c>
      <c r="B9" s="26" t="s">
        <v>8</v>
      </c>
      <c r="C9" s="33" t="s">
        <v>14</v>
      </c>
      <c r="D9" s="34" t="s">
        <v>15</v>
      </c>
      <c r="E9" s="34" t="s">
        <v>16</v>
      </c>
      <c r="F9" s="34" t="s">
        <v>17</v>
      </c>
      <c r="G9" s="37" t="s">
        <v>18</v>
      </c>
      <c r="H9" s="37" t="s">
        <v>51</v>
      </c>
      <c r="I9" s="37" t="s">
        <v>52</v>
      </c>
      <c r="J9" s="38" t="s">
        <v>10</v>
      </c>
      <c r="K9" s="34" t="s">
        <v>11</v>
      </c>
      <c r="L9" s="39" t="s">
        <v>12</v>
      </c>
      <c r="M9" s="17" t="s">
        <v>13</v>
      </c>
      <c r="N9" s="27" t="s">
        <v>19</v>
      </c>
      <c r="O9" s="27" t="s">
        <v>20</v>
      </c>
      <c r="P9" s="27" t="s">
        <v>21</v>
      </c>
      <c r="Q9" s="27" t="s">
        <v>22</v>
      </c>
      <c r="R9" s="27" t="s">
        <v>53</v>
      </c>
      <c r="S9" s="27" t="s">
        <v>54</v>
      </c>
      <c r="T9" s="27" t="s">
        <v>55</v>
      </c>
      <c r="U9" s="27" t="s">
        <v>56</v>
      </c>
      <c r="V9" s="27" t="s">
        <v>57</v>
      </c>
      <c r="W9" s="27" t="s">
        <v>58</v>
      </c>
      <c r="X9" s="27" t="s">
        <v>59</v>
      </c>
      <c r="Y9" s="27" t="s">
        <v>60</v>
      </c>
      <c r="Z9" s="27" t="s">
        <v>75</v>
      </c>
      <c r="AA9" s="27" t="s">
        <v>76</v>
      </c>
      <c r="AB9" s="27" t="s">
        <v>77</v>
      </c>
      <c r="AC9" s="27" t="s">
        <v>78</v>
      </c>
      <c r="AD9" s="27" t="s">
        <v>79</v>
      </c>
      <c r="AE9" s="27" t="s">
        <v>81</v>
      </c>
      <c r="AF9" s="27" t="s">
        <v>82</v>
      </c>
      <c r="AG9" s="27" t="s">
        <v>83</v>
      </c>
      <c r="AH9" s="27" t="s">
        <v>84</v>
      </c>
      <c r="AI9" s="27" t="s">
        <v>85</v>
      </c>
      <c r="AJ9" s="27" t="s">
        <v>86</v>
      </c>
      <c r="AK9" s="27" t="s">
        <v>87</v>
      </c>
      <c r="AL9" s="27" t="s">
        <v>32</v>
      </c>
      <c r="AM9" s="27" t="s">
        <v>44</v>
      </c>
      <c r="AN9" s="27" t="s">
        <v>41</v>
      </c>
      <c r="AO9" s="27" t="s">
        <v>43</v>
      </c>
      <c r="AP9" s="27" t="s">
        <v>43</v>
      </c>
      <c r="AQ9" s="27" t="s">
        <v>42</v>
      </c>
      <c r="AR9" s="27" t="s">
        <v>45</v>
      </c>
      <c r="AS9" s="27" t="s">
        <v>50</v>
      </c>
    </row>
    <row r="10" spans="1:45" x14ac:dyDescent="0.35">
      <c r="A10" s="19">
        <v>43831</v>
      </c>
      <c r="B10" s="20">
        <f>WORKDAY(A10,-7)</f>
        <v>43822</v>
      </c>
      <c r="C10" s="35">
        <v>42.8</v>
      </c>
      <c r="D10" s="36">
        <v>53.75</v>
      </c>
      <c r="E10" s="36">
        <v>36.35</v>
      </c>
      <c r="F10" s="36">
        <v>15.585000000000001</v>
      </c>
      <c r="G10" s="36">
        <v>25.3</v>
      </c>
      <c r="H10" s="42">
        <v>0</v>
      </c>
      <c r="I10" s="42">
        <v>0</v>
      </c>
      <c r="J10" s="40">
        <v>0.35</v>
      </c>
      <c r="K10" s="40">
        <v>0.42</v>
      </c>
      <c r="L10" s="41">
        <v>0.6</v>
      </c>
      <c r="M10" s="23">
        <f>(B10-$B$3)/365</f>
        <v>3.0136986301369864E-2</v>
      </c>
      <c r="N10" s="28">
        <f t="shared" ref="N10:N21" si="0">DAY(EOMONTH(B10,0))</f>
        <v>31</v>
      </c>
      <c r="O10" s="29" t="s">
        <v>9</v>
      </c>
      <c r="P10" s="30">
        <v>1</v>
      </c>
      <c r="Q10" s="31">
        <v>0</v>
      </c>
      <c r="R10" s="1">
        <v>1</v>
      </c>
      <c r="S10" s="1">
        <v>-1</v>
      </c>
      <c r="T10" s="32">
        <v>2.49897852155555</v>
      </c>
      <c r="U10" s="32">
        <v>0.22997852155556142</v>
      </c>
      <c r="V10" s="32">
        <v>2.2689999999999948</v>
      </c>
      <c r="W10" s="32">
        <v>2.2689999999999948</v>
      </c>
      <c r="X10" s="32">
        <v>0.2299785215555552</v>
      </c>
      <c r="Y10" s="32">
        <v>-2.0390214784444334</v>
      </c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</row>
    <row r="11" spans="1:45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36">
        <v>57</v>
      </c>
      <c r="E11" s="36">
        <v>39.83</v>
      </c>
      <c r="F11" s="36">
        <v>15.8</v>
      </c>
      <c r="G11" s="36">
        <v>25.3</v>
      </c>
      <c r="H11" s="42">
        <v>0</v>
      </c>
      <c r="I11" s="42">
        <v>0</v>
      </c>
      <c r="J11" s="40">
        <f>20%+(J10-20%)*0.95</f>
        <v>0.34249999999999997</v>
      </c>
      <c r="K11" s="40">
        <f>20%+(K10-20%)*0.95</f>
        <v>0.40899999999999997</v>
      </c>
      <c r="L11" s="41">
        <f>80%+(L10-80%)*0.9</f>
        <v>0.62</v>
      </c>
      <c r="M11" s="23">
        <f t="shared" ref="M11:M21" si="2">(B11-$B$3)/365</f>
        <v>0.11506849315068493</v>
      </c>
      <c r="N11" s="28">
        <f t="shared" si="0"/>
        <v>31</v>
      </c>
      <c r="O11" s="29" t="s">
        <v>9</v>
      </c>
      <c r="P11" s="30">
        <v>1</v>
      </c>
      <c r="Q11" s="31">
        <v>0</v>
      </c>
      <c r="R11" s="1">
        <v>1</v>
      </c>
      <c r="S11" s="1">
        <v>-1</v>
      </c>
      <c r="T11" s="32">
        <v>5.1702200315934377</v>
      </c>
      <c r="U11" s="32">
        <v>0.38122003159344064</v>
      </c>
      <c r="V11" s="32">
        <v>4.7889999999999979</v>
      </c>
      <c r="W11" s="32">
        <v>4.7889999999999979</v>
      </c>
      <c r="X11" s="32">
        <v>0.38122003159343976</v>
      </c>
      <c r="Y11" s="32">
        <v>-4.4077799684065573</v>
      </c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</row>
    <row r="12" spans="1:45" x14ac:dyDescent="0.35">
      <c r="A12" s="19">
        <v>43891</v>
      </c>
      <c r="B12" s="20">
        <f t="shared" si="1"/>
        <v>43881</v>
      </c>
      <c r="C12" s="35">
        <v>41.9</v>
      </c>
      <c r="D12" s="36">
        <v>50.5</v>
      </c>
      <c r="E12" s="36">
        <v>37.159999999999997</v>
      </c>
      <c r="F12" s="36">
        <v>15.455</v>
      </c>
      <c r="G12" s="36">
        <v>25.3</v>
      </c>
      <c r="H12" s="42">
        <v>0</v>
      </c>
      <c r="I12" s="42">
        <v>0</v>
      </c>
      <c r="J12" s="40">
        <f t="shared" ref="J12:K21" si="3">20%+(J11-20%)*0.95</f>
        <v>0.33537499999999998</v>
      </c>
      <c r="K12" s="40">
        <f t="shared" si="3"/>
        <v>0.39854999999999996</v>
      </c>
      <c r="L12" s="41">
        <f t="shared" ref="L12:L21" si="4">80%+(L11-80%)*0.9</f>
        <v>0.63800000000000001</v>
      </c>
      <c r="M12" s="23">
        <f t="shared" si="2"/>
        <v>0.19178082191780821</v>
      </c>
      <c r="N12" s="28">
        <f t="shared" si="0"/>
        <v>29</v>
      </c>
      <c r="O12" s="29" t="s">
        <v>9</v>
      </c>
      <c r="P12" s="30">
        <v>1</v>
      </c>
      <c r="Q12" s="31">
        <v>0</v>
      </c>
      <c r="R12" s="1">
        <v>1</v>
      </c>
      <c r="S12" s="1">
        <v>-1</v>
      </c>
      <c r="T12" s="32">
        <v>3.1108211377132662</v>
      </c>
      <c r="U12" s="32">
        <v>1.4818211377132684</v>
      </c>
      <c r="V12" s="32">
        <v>1.6289999999999978</v>
      </c>
      <c r="W12" s="32">
        <v>1.6289999999999978</v>
      </c>
      <c r="X12" s="32">
        <v>1.4818211377132684</v>
      </c>
      <c r="Y12" s="32">
        <v>-0.14717886228672938</v>
      </c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</row>
    <row r="13" spans="1:45" x14ac:dyDescent="0.35">
      <c r="A13" s="19">
        <v>43922</v>
      </c>
      <c r="B13" s="20">
        <f t="shared" si="1"/>
        <v>43913</v>
      </c>
      <c r="C13" s="35">
        <v>39.75</v>
      </c>
      <c r="D13" s="36">
        <v>45.6</v>
      </c>
      <c r="E13" s="36">
        <v>36.36</v>
      </c>
      <c r="F13" s="36">
        <v>14.753</v>
      </c>
      <c r="G13" s="36">
        <v>25.3</v>
      </c>
      <c r="H13" s="42">
        <v>0</v>
      </c>
      <c r="I13" s="42">
        <v>0</v>
      </c>
      <c r="J13" s="40">
        <f t="shared" si="3"/>
        <v>0.32860624999999999</v>
      </c>
      <c r="K13" s="40">
        <f t="shared" si="3"/>
        <v>0.38862249999999998</v>
      </c>
      <c r="L13" s="41">
        <f t="shared" si="4"/>
        <v>0.6542</v>
      </c>
      <c r="M13" s="23">
        <f t="shared" si="2"/>
        <v>0.27945205479452057</v>
      </c>
      <c r="N13" s="28">
        <f t="shared" si="0"/>
        <v>31</v>
      </c>
      <c r="O13" s="29" t="s">
        <v>9</v>
      </c>
      <c r="P13" s="30">
        <v>1</v>
      </c>
      <c r="Q13" s="31">
        <v>0</v>
      </c>
      <c r="R13" s="1">
        <v>1</v>
      </c>
      <c r="S13" s="1">
        <v>-1</v>
      </c>
      <c r="T13" s="32">
        <v>2.9013144742642396</v>
      </c>
      <c r="U13" s="32">
        <v>2.018314474264244</v>
      </c>
      <c r="V13" s="32">
        <v>0.88299999999999912</v>
      </c>
      <c r="W13" s="32">
        <v>0.88299999999999912</v>
      </c>
      <c r="X13" s="32">
        <v>2.0183144742642405</v>
      </c>
      <c r="Y13" s="32">
        <v>1.1353144742642449</v>
      </c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</row>
    <row r="14" spans="1:45" x14ac:dyDescent="0.35">
      <c r="A14" s="19">
        <v>43952</v>
      </c>
      <c r="B14" s="20">
        <f t="shared" si="1"/>
        <v>43943</v>
      </c>
      <c r="C14" s="35">
        <v>39.75</v>
      </c>
      <c r="D14" s="36">
        <v>45.6</v>
      </c>
      <c r="E14" s="36">
        <v>36.75</v>
      </c>
      <c r="F14" s="36">
        <v>14.484999999999999</v>
      </c>
      <c r="G14" s="36">
        <v>25.3</v>
      </c>
      <c r="H14" s="42">
        <v>0</v>
      </c>
      <c r="I14" s="42">
        <v>0</v>
      </c>
      <c r="J14" s="40">
        <f t="shared" si="3"/>
        <v>0.32217593749999995</v>
      </c>
      <c r="K14" s="40">
        <f t="shared" si="3"/>
        <v>0.379191375</v>
      </c>
      <c r="L14" s="41">
        <f t="shared" si="4"/>
        <v>0.66878000000000004</v>
      </c>
      <c r="M14" s="23">
        <f t="shared" si="2"/>
        <v>0.36164383561643837</v>
      </c>
      <c r="N14" s="28">
        <f t="shared" si="0"/>
        <v>30</v>
      </c>
      <c r="O14" s="29" t="s">
        <v>9</v>
      </c>
      <c r="P14" s="30">
        <v>1</v>
      </c>
      <c r="Q14" s="31">
        <v>0</v>
      </c>
      <c r="R14" s="1">
        <v>1</v>
      </c>
      <c r="S14" s="1">
        <v>-1</v>
      </c>
      <c r="T14" s="32">
        <v>3.4087071708791967</v>
      </c>
      <c r="U14" s="32">
        <v>1.9897071708792016</v>
      </c>
      <c r="V14" s="32">
        <v>1.4190000000000005</v>
      </c>
      <c r="W14" s="32">
        <v>1.4190000000000005</v>
      </c>
      <c r="X14" s="32">
        <v>1.9897071708791962</v>
      </c>
      <c r="Y14" s="32">
        <v>0.57070717087920109</v>
      </c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</row>
    <row r="15" spans="1:45" x14ac:dyDescent="0.35">
      <c r="A15" s="19">
        <v>43983</v>
      </c>
      <c r="B15" s="20">
        <f t="shared" si="1"/>
        <v>43972</v>
      </c>
      <c r="C15" s="35">
        <v>39.75</v>
      </c>
      <c r="D15" s="36">
        <v>45.6</v>
      </c>
      <c r="E15" s="36">
        <v>36.36</v>
      </c>
      <c r="F15" s="36">
        <v>14.353</v>
      </c>
      <c r="G15" s="36">
        <v>25.3</v>
      </c>
      <c r="H15" s="42">
        <v>0</v>
      </c>
      <c r="I15" s="42">
        <v>0</v>
      </c>
      <c r="J15" s="40">
        <f>20%+(J14-20%)*0.95</f>
        <v>0.31606714062499996</v>
      </c>
      <c r="K15" s="40">
        <f t="shared" si="3"/>
        <v>0.37023180624999996</v>
      </c>
      <c r="L15" s="41">
        <f t="shared" si="4"/>
        <v>0.68190200000000001</v>
      </c>
      <c r="M15" s="23">
        <f t="shared" si="2"/>
        <v>0.44109589041095892</v>
      </c>
      <c r="N15" s="28">
        <f t="shared" si="0"/>
        <v>31</v>
      </c>
      <c r="O15" s="29" t="s">
        <v>9</v>
      </c>
      <c r="P15" s="30">
        <v>1</v>
      </c>
      <c r="Q15" s="31">
        <v>0</v>
      </c>
      <c r="R15" s="1">
        <v>1</v>
      </c>
      <c r="S15" s="1">
        <v>-1</v>
      </c>
      <c r="T15" s="32">
        <v>3.713190546895202</v>
      </c>
      <c r="U15" s="32">
        <v>2.0301905468951986</v>
      </c>
      <c r="V15" s="32">
        <v>1.6829999999999998</v>
      </c>
      <c r="W15" s="32">
        <v>1.6829999999999998</v>
      </c>
      <c r="X15" s="32">
        <v>2.0301905468952022</v>
      </c>
      <c r="Y15" s="32">
        <v>0.34719054689519879</v>
      </c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</row>
    <row r="16" spans="1:45" x14ac:dyDescent="0.35">
      <c r="A16" s="19">
        <v>44013</v>
      </c>
      <c r="B16" s="20">
        <f t="shared" si="1"/>
        <v>44004</v>
      </c>
      <c r="C16" s="35">
        <v>43.1</v>
      </c>
      <c r="D16" s="36">
        <v>49.6</v>
      </c>
      <c r="E16" s="36">
        <v>39.270000000000003</v>
      </c>
      <c r="F16" s="36">
        <v>14.363</v>
      </c>
      <c r="G16" s="36">
        <v>25.3</v>
      </c>
      <c r="H16" s="42">
        <v>0</v>
      </c>
      <c r="I16" s="42">
        <v>0</v>
      </c>
      <c r="J16" s="40">
        <f t="shared" si="3"/>
        <v>0.31026378359374995</v>
      </c>
      <c r="K16" s="40">
        <f t="shared" si="3"/>
        <v>0.36172021593749992</v>
      </c>
      <c r="L16" s="41">
        <f t="shared" si="4"/>
        <v>0.69371179999999999</v>
      </c>
      <c r="M16" s="23">
        <f t="shared" si="2"/>
        <v>0.52876712328767128</v>
      </c>
      <c r="N16" s="28">
        <f t="shared" si="0"/>
        <v>30</v>
      </c>
      <c r="O16" s="29" t="s">
        <v>9</v>
      </c>
      <c r="P16" s="30">
        <v>1</v>
      </c>
      <c r="Q16" s="31">
        <v>0</v>
      </c>
      <c r="R16" s="1">
        <v>1</v>
      </c>
      <c r="S16" s="1">
        <v>-1</v>
      </c>
      <c r="T16" s="32">
        <v>6.2025359592316924</v>
      </c>
      <c r="U16" s="32">
        <v>1.1895359592316943</v>
      </c>
      <c r="V16" s="32">
        <v>5.0130000000000017</v>
      </c>
      <c r="W16" s="32">
        <v>5.0130000000000017</v>
      </c>
      <c r="X16" s="32">
        <v>1.1895359592316908</v>
      </c>
      <c r="Y16" s="32">
        <v>-3.8234640407683074</v>
      </c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</row>
    <row r="17" spans="1:38" x14ac:dyDescent="0.35">
      <c r="A17" s="19">
        <v>44044</v>
      </c>
      <c r="B17" s="20">
        <f t="shared" si="1"/>
        <v>44035</v>
      </c>
      <c r="C17" s="35">
        <v>43.1</v>
      </c>
      <c r="D17" s="36">
        <v>49.6</v>
      </c>
      <c r="E17" s="36">
        <v>39.770000000000003</v>
      </c>
      <c r="F17" s="36">
        <v>14.583</v>
      </c>
      <c r="G17" s="36">
        <v>25.3</v>
      </c>
      <c r="H17" s="42">
        <v>0</v>
      </c>
      <c r="I17" s="42">
        <v>0</v>
      </c>
      <c r="J17" s="40">
        <f t="shared" si="3"/>
        <v>0.30475059441406244</v>
      </c>
      <c r="K17" s="40">
        <f t="shared" si="3"/>
        <v>0.35363420514062494</v>
      </c>
      <c r="L17" s="41">
        <f t="shared" si="4"/>
        <v>0.70434061999999997</v>
      </c>
      <c r="M17" s="23">
        <f t="shared" si="2"/>
        <v>0.61369863013698633</v>
      </c>
      <c r="N17" s="28">
        <f t="shared" si="0"/>
        <v>31</v>
      </c>
      <c r="O17" s="29" t="s">
        <v>9</v>
      </c>
      <c r="P17" s="30">
        <v>1</v>
      </c>
      <c r="Q17" s="31">
        <v>0</v>
      </c>
      <c r="R17" s="1">
        <v>1</v>
      </c>
      <c r="S17" s="1">
        <v>-1</v>
      </c>
      <c r="T17" s="32">
        <v>5.9946105757761394</v>
      </c>
      <c r="U17" s="32">
        <v>1.4216105757761373</v>
      </c>
      <c r="V17" s="32">
        <v>4.5730000000000004</v>
      </c>
      <c r="W17" s="32">
        <v>4.5730000000000004</v>
      </c>
      <c r="X17" s="32">
        <v>1.421610575776139</v>
      </c>
      <c r="Y17" s="32">
        <v>-3.1513894242238631</v>
      </c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</row>
    <row r="18" spans="1:38" x14ac:dyDescent="0.35">
      <c r="A18" s="19">
        <v>44075</v>
      </c>
      <c r="B18" s="20">
        <f t="shared" si="1"/>
        <v>44064</v>
      </c>
      <c r="C18" s="35">
        <v>43.1</v>
      </c>
      <c r="D18" s="36">
        <v>49.6</v>
      </c>
      <c r="E18" s="36">
        <v>39.340000000000003</v>
      </c>
      <c r="F18" s="36">
        <v>14.77</v>
      </c>
      <c r="G18" s="36">
        <v>25.3</v>
      </c>
      <c r="H18" s="42">
        <v>0</v>
      </c>
      <c r="I18" s="42">
        <v>0</v>
      </c>
      <c r="J18" s="40">
        <f t="shared" si="3"/>
        <v>0.29951306469335931</v>
      </c>
      <c r="K18" s="40">
        <f t="shared" si="3"/>
        <v>0.3459524948835937</v>
      </c>
      <c r="L18" s="41">
        <f t="shared" si="4"/>
        <v>0.71390655800000002</v>
      </c>
      <c r="M18" s="23">
        <f t="shared" si="2"/>
        <v>0.69315068493150689</v>
      </c>
      <c r="N18" s="28">
        <f t="shared" si="0"/>
        <v>31</v>
      </c>
      <c r="O18" s="29" t="s">
        <v>9</v>
      </c>
      <c r="P18" s="30">
        <v>1</v>
      </c>
      <c r="Q18" s="31">
        <v>0</v>
      </c>
      <c r="R18" s="1">
        <v>1</v>
      </c>
      <c r="S18" s="1">
        <v>-1</v>
      </c>
      <c r="T18" s="32">
        <v>5.8167824313037357</v>
      </c>
      <c r="U18" s="32">
        <v>1.617782431303727</v>
      </c>
      <c r="V18" s="32">
        <v>4.1990000000000016</v>
      </c>
      <c r="W18" s="32">
        <v>4.1990000000000016</v>
      </c>
      <c r="X18" s="32">
        <v>1.6177824313037341</v>
      </c>
      <c r="Y18" s="32">
        <v>-2.5812175686962746</v>
      </c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</row>
    <row r="19" spans="1:38" x14ac:dyDescent="0.35">
      <c r="A19" s="19">
        <v>44105</v>
      </c>
      <c r="B19" s="20">
        <f t="shared" si="1"/>
        <v>44096</v>
      </c>
      <c r="C19" s="35">
        <v>48.75</v>
      </c>
      <c r="D19" s="36">
        <v>60.65</v>
      </c>
      <c r="E19" s="36">
        <v>42.22</v>
      </c>
      <c r="F19" s="36">
        <v>16.026</v>
      </c>
      <c r="G19" s="36">
        <v>25.3</v>
      </c>
      <c r="H19" s="42">
        <v>0</v>
      </c>
      <c r="I19" s="42">
        <v>0</v>
      </c>
      <c r="J19" s="40">
        <f t="shared" si="3"/>
        <v>0.29453741145869133</v>
      </c>
      <c r="K19" s="40">
        <f t="shared" si="3"/>
        <v>0.33865487013941398</v>
      </c>
      <c r="L19" s="41">
        <f t="shared" si="4"/>
        <v>0.72251590220000006</v>
      </c>
      <c r="M19" s="23">
        <f t="shared" si="2"/>
        <v>0.78082191780821919</v>
      </c>
      <c r="N19" s="28">
        <f t="shared" si="0"/>
        <v>30</v>
      </c>
      <c r="O19" s="29" t="s">
        <v>9</v>
      </c>
      <c r="P19" s="30">
        <v>1</v>
      </c>
      <c r="Q19" s="31">
        <v>0</v>
      </c>
      <c r="R19" s="1">
        <v>1</v>
      </c>
      <c r="S19" s="1">
        <v>-1</v>
      </c>
      <c r="T19" s="32">
        <v>8.4807693816845493</v>
      </c>
      <c r="U19" s="32">
        <v>1.1437693816845389</v>
      </c>
      <c r="V19" s="32">
        <v>7.3369999999999997</v>
      </c>
      <c r="W19" s="32">
        <v>7.3369999999999997</v>
      </c>
      <c r="X19" s="32">
        <v>1.1437693816845496</v>
      </c>
      <c r="Y19" s="32">
        <v>-6.1932306183154608</v>
      </c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</row>
    <row r="20" spans="1:38" x14ac:dyDescent="0.35">
      <c r="A20" s="19">
        <v>44136</v>
      </c>
      <c r="B20" s="20">
        <f t="shared" si="1"/>
        <v>44126</v>
      </c>
      <c r="C20" s="35">
        <v>48.75</v>
      </c>
      <c r="D20" s="36">
        <v>60.65</v>
      </c>
      <c r="E20" s="36">
        <v>42.34</v>
      </c>
      <c r="F20" s="36">
        <v>17.968</v>
      </c>
      <c r="G20" s="36">
        <v>25.3</v>
      </c>
      <c r="H20" s="42">
        <v>0</v>
      </c>
      <c r="I20" s="42">
        <v>0</v>
      </c>
      <c r="J20" s="40">
        <f t="shared" si="3"/>
        <v>0.28981054088575675</v>
      </c>
      <c r="K20" s="40">
        <f t="shared" si="3"/>
        <v>0.33172212663244327</v>
      </c>
      <c r="L20" s="41">
        <f t="shared" si="4"/>
        <v>0.73026431198000008</v>
      </c>
      <c r="M20" s="23">
        <f t="shared" si="2"/>
        <v>0.86301369863013699</v>
      </c>
      <c r="N20" s="28">
        <f t="shared" si="0"/>
        <v>31</v>
      </c>
      <c r="O20" s="29" t="s">
        <v>9</v>
      </c>
      <c r="P20" s="30">
        <v>1</v>
      </c>
      <c r="Q20" s="31">
        <v>0</v>
      </c>
      <c r="R20" s="1">
        <v>1</v>
      </c>
      <c r="S20" s="1">
        <v>-1</v>
      </c>
      <c r="T20" s="32">
        <v>5.9107012190898303</v>
      </c>
      <c r="U20" s="32">
        <v>2.4577012190898291</v>
      </c>
      <c r="V20" s="32">
        <v>3.4529999999999994</v>
      </c>
      <c r="W20" s="32">
        <v>3.4529999999999994</v>
      </c>
      <c r="X20" s="32">
        <v>2.4577012190898309</v>
      </c>
      <c r="Y20" s="32">
        <v>-0.99529878091017032</v>
      </c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</row>
    <row r="21" spans="1:38" x14ac:dyDescent="0.35">
      <c r="A21" s="19">
        <v>44166</v>
      </c>
      <c r="B21" s="20">
        <f t="shared" si="1"/>
        <v>44155</v>
      </c>
      <c r="C21" s="35">
        <v>48.75</v>
      </c>
      <c r="D21" s="36">
        <v>60.65</v>
      </c>
      <c r="E21" s="36">
        <v>41.73</v>
      </c>
      <c r="F21" s="36">
        <v>18.376000000000001</v>
      </c>
      <c r="G21" s="36">
        <v>25.3</v>
      </c>
      <c r="H21" s="42">
        <v>0</v>
      </c>
      <c r="I21" s="42">
        <v>0</v>
      </c>
      <c r="J21" s="40">
        <f t="shared" si="3"/>
        <v>0.28532001384146888</v>
      </c>
      <c r="K21" s="40">
        <f t="shared" si="3"/>
        <v>0.32513602030082112</v>
      </c>
      <c r="L21" s="41">
        <f t="shared" si="4"/>
        <v>0.73723788078200003</v>
      </c>
      <c r="M21" s="23">
        <f t="shared" si="2"/>
        <v>0.94246575342465755</v>
      </c>
      <c r="N21" s="28">
        <f t="shared" si="0"/>
        <v>30</v>
      </c>
      <c r="O21" s="29" t="s">
        <v>9</v>
      </c>
      <c r="P21" s="30">
        <v>1</v>
      </c>
      <c r="Q21" s="31">
        <v>0</v>
      </c>
      <c r="R21" s="1">
        <v>1</v>
      </c>
      <c r="S21" s="1">
        <v>-1</v>
      </c>
      <c r="T21" s="32">
        <v>5.4879435650209736</v>
      </c>
      <c r="U21" s="32">
        <v>2.8509435650209731</v>
      </c>
      <c r="V21" s="32">
        <v>2.6369999999999969</v>
      </c>
      <c r="W21" s="32">
        <v>2.6369999999999969</v>
      </c>
      <c r="X21" s="32">
        <v>2.8509435650209767</v>
      </c>
      <c r="Y21" s="32">
        <v>0.21394356502097622</v>
      </c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</row>
    <row r="22" spans="1:38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38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phoneticPr fontId="7" type="noConversion"/>
  <dataValidations count="1">
    <dataValidation type="list" allowBlank="1" showInputMessage="1" showErrorMessage="1" sqref="O10:O21" xr:uid="{567A1481-0AB7-4EDB-9D74-C3C289EBD357}">
      <formula1>$I$5:$I$7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980E-8095-4088-AECA-0C2A68FF0E76}">
  <sheetPr codeName="Sheet6"/>
  <dimension ref="A1:BD23"/>
  <sheetViews>
    <sheetView zoomScale="55" zoomScaleNormal="55" workbookViewId="0">
      <selection activeCell="A15" sqref="A15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11.1796875" style="1" bestFit="1" customWidth="1"/>
    <col min="12" max="12" width="15.453125" style="1" bestFit="1" customWidth="1"/>
    <col min="13" max="13" width="13.81640625" style="1" bestFit="1" customWidth="1"/>
    <col min="14" max="14" width="15.453125" style="1" bestFit="1" customWidth="1"/>
    <col min="15" max="15" width="13.26953125" style="1" bestFit="1" customWidth="1"/>
    <col min="16" max="16" width="7.36328125" style="1" bestFit="1" customWidth="1"/>
    <col min="17" max="17" width="15.453125" style="1" bestFit="1" customWidth="1"/>
    <col min="18" max="18" width="8.1796875" style="1" bestFit="1" customWidth="1"/>
    <col min="19" max="19" width="8.54296875" style="1" bestFit="1" customWidth="1"/>
    <col min="20" max="21" width="8.54296875" style="1" customWidth="1"/>
    <col min="22" max="22" width="10" style="1" bestFit="1" customWidth="1"/>
    <col min="23" max="24" width="10" style="1" customWidth="1"/>
    <col min="25" max="25" width="12.6328125" style="1" bestFit="1" customWidth="1"/>
    <col min="26" max="26" width="14.90625" style="1" bestFit="1" customWidth="1"/>
    <col min="27" max="27" width="14.453125" style="1" bestFit="1" customWidth="1"/>
    <col min="28" max="28" width="13.08984375" style="1" bestFit="1" customWidth="1"/>
    <col min="29" max="29" width="15.26953125" style="1" bestFit="1" customWidth="1"/>
    <col min="30" max="30" width="14.81640625" style="1" bestFit="1" customWidth="1"/>
    <col min="31" max="31" width="14.90625" style="1" bestFit="1" customWidth="1"/>
    <col min="32" max="32" width="14.6328125" style="1" bestFit="1" customWidth="1"/>
    <col min="33" max="33" width="17.26953125" style="1" bestFit="1" customWidth="1"/>
    <col min="34" max="35" width="16.81640625" style="1" bestFit="1" customWidth="1"/>
    <col min="36" max="36" width="16.36328125" style="1" bestFit="1" customWidth="1"/>
    <col min="37" max="37" width="14.54296875" style="1" bestFit="1" customWidth="1"/>
    <col min="38" max="38" width="14.26953125" style="1" bestFit="1" customWidth="1"/>
    <col min="39" max="39" width="16.81640625" style="1" bestFit="1" customWidth="1"/>
    <col min="40" max="41" width="16.453125" style="1" bestFit="1" customWidth="1"/>
    <col min="42" max="42" width="16" style="1" bestFit="1" customWidth="1"/>
    <col min="43" max="43" width="17.36328125" style="1" bestFit="1" customWidth="1"/>
    <col min="44" max="44" width="17.08984375" style="1" bestFit="1" customWidth="1"/>
    <col min="45" max="45" width="19.54296875" style="1" bestFit="1" customWidth="1"/>
    <col min="46" max="46" width="19.26953125" style="1" bestFit="1" customWidth="1"/>
    <col min="47" max="47" width="19.08984375" style="1" bestFit="1" customWidth="1"/>
    <col min="48" max="48" width="18.81640625" style="1" bestFit="1" customWidth="1"/>
    <col min="49" max="49" width="21.54296875" style="1" bestFit="1" customWidth="1"/>
    <col min="50" max="16384" width="8.7265625" style="1"/>
  </cols>
  <sheetData>
    <row r="1" spans="1:56" ht="40" customHeight="1" x14ac:dyDescent="0.35"/>
    <row r="2" spans="1:56" ht="15" thickBot="1" x14ac:dyDescent="0.4"/>
    <row r="3" spans="1:56" ht="15" thickBot="1" x14ac:dyDescent="0.4">
      <c r="A3" s="2" t="s">
        <v>0</v>
      </c>
      <c r="B3" s="3">
        <v>43811</v>
      </c>
      <c r="G3" s="4" t="s">
        <v>1</v>
      </c>
      <c r="H3" s="5"/>
      <c r="I3" s="5"/>
      <c r="J3" s="6">
        <v>0.5</v>
      </c>
    </row>
    <row r="4" spans="1:56" x14ac:dyDescent="0.35">
      <c r="G4" s="7" t="s">
        <v>2</v>
      </c>
      <c r="H4" s="8"/>
      <c r="I4" s="8"/>
      <c r="J4" s="9">
        <v>0.37</v>
      </c>
    </row>
    <row r="5" spans="1:56" x14ac:dyDescent="0.35">
      <c r="G5" s="7" t="s">
        <v>24</v>
      </c>
      <c r="H5" s="8"/>
      <c r="I5" s="8" t="s">
        <v>9</v>
      </c>
      <c r="J5" s="11">
        <v>1</v>
      </c>
    </row>
    <row r="6" spans="1:56" x14ac:dyDescent="0.35">
      <c r="B6" s="10"/>
      <c r="G6" s="7" t="s">
        <v>3</v>
      </c>
      <c r="H6" s="8"/>
      <c r="I6" s="8" t="s">
        <v>4</v>
      </c>
      <c r="J6" s="11">
        <v>0.35</v>
      </c>
    </row>
    <row r="7" spans="1:56" ht="15" thickBot="1" x14ac:dyDescent="0.4">
      <c r="G7" s="12" t="s">
        <v>5</v>
      </c>
      <c r="H7" s="13"/>
      <c r="I7" s="13" t="s">
        <v>6</v>
      </c>
      <c r="J7" s="14">
        <v>0.65</v>
      </c>
    </row>
    <row r="8" spans="1:56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56" ht="14.5" customHeight="1" x14ac:dyDescent="0.35">
      <c r="A9" s="26" t="s">
        <v>7</v>
      </c>
      <c r="B9" s="26" t="s">
        <v>8</v>
      </c>
      <c r="C9" s="33" t="s">
        <v>14</v>
      </c>
      <c r="D9" s="34" t="s">
        <v>15</v>
      </c>
      <c r="E9" s="34" t="s">
        <v>16</v>
      </c>
      <c r="F9" s="34" t="s">
        <v>17</v>
      </c>
      <c r="G9" s="37" t="s">
        <v>18</v>
      </c>
      <c r="H9" s="37" t="s">
        <v>51</v>
      </c>
      <c r="I9" s="37" t="s">
        <v>52</v>
      </c>
      <c r="J9" s="37" t="s">
        <v>67</v>
      </c>
      <c r="K9" s="38" t="s">
        <v>10</v>
      </c>
      <c r="L9" s="34" t="s">
        <v>11</v>
      </c>
      <c r="M9" s="39" t="s">
        <v>12</v>
      </c>
      <c r="N9" s="17" t="s">
        <v>13</v>
      </c>
      <c r="O9" s="27" t="s">
        <v>19</v>
      </c>
      <c r="P9" s="27" t="s">
        <v>20</v>
      </c>
      <c r="Q9" s="27" t="s">
        <v>21</v>
      </c>
      <c r="R9" s="27" t="s">
        <v>22</v>
      </c>
      <c r="S9" s="27" t="s">
        <v>53</v>
      </c>
      <c r="T9" s="27" t="s">
        <v>54</v>
      </c>
      <c r="U9" s="27" t="s">
        <v>68</v>
      </c>
      <c r="V9" s="27" t="s">
        <v>55</v>
      </c>
      <c r="W9" s="27" t="s">
        <v>56</v>
      </c>
      <c r="X9" s="27" t="s">
        <v>69</v>
      </c>
      <c r="Y9" s="27" t="s">
        <v>57</v>
      </c>
      <c r="Z9" s="27" t="s">
        <v>58</v>
      </c>
      <c r="AA9" s="27" t="s">
        <v>70</v>
      </c>
      <c r="AB9" s="27" t="s">
        <v>59</v>
      </c>
      <c r="AC9" s="27" t="s">
        <v>60</v>
      </c>
      <c r="AD9" s="27" t="s">
        <v>71</v>
      </c>
      <c r="AE9" s="27" t="s">
        <v>75</v>
      </c>
      <c r="AF9" s="27" t="s">
        <v>76</v>
      </c>
      <c r="AG9" s="27" t="s">
        <v>77</v>
      </c>
      <c r="AH9" s="27" t="s">
        <v>78</v>
      </c>
      <c r="AI9" s="27" t="s">
        <v>88</v>
      </c>
      <c r="AJ9" s="27" t="s">
        <v>89</v>
      </c>
      <c r="AK9" s="27" t="s">
        <v>79</v>
      </c>
      <c r="AL9" s="27" t="s">
        <v>81</v>
      </c>
      <c r="AM9" s="27" t="s">
        <v>82</v>
      </c>
      <c r="AN9" s="27" t="s">
        <v>83</v>
      </c>
      <c r="AO9" s="27" t="s">
        <v>90</v>
      </c>
      <c r="AP9" s="27" t="s">
        <v>80</v>
      </c>
      <c r="AQ9" s="27" t="s">
        <v>84</v>
      </c>
      <c r="AR9" s="27" t="s">
        <v>85</v>
      </c>
      <c r="AS9" s="27" t="s">
        <v>86</v>
      </c>
      <c r="AT9" s="27" t="s">
        <v>87</v>
      </c>
      <c r="AU9" s="27" t="s">
        <v>91</v>
      </c>
      <c r="AV9" s="27" t="s">
        <v>92</v>
      </c>
      <c r="AW9" s="27" t="s">
        <v>33</v>
      </c>
      <c r="AX9" s="27" t="s">
        <v>44</v>
      </c>
      <c r="AY9" s="27" t="s">
        <v>41</v>
      </c>
      <c r="AZ9" s="27" t="s">
        <v>43</v>
      </c>
      <c r="BA9" s="27" t="s">
        <v>43</v>
      </c>
      <c r="BB9" s="27" t="s">
        <v>42</v>
      </c>
      <c r="BC9" s="27" t="s">
        <v>45</v>
      </c>
      <c r="BD9" s="27" t="s">
        <v>50</v>
      </c>
    </row>
    <row r="10" spans="1:56" x14ac:dyDescent="0.35">
      <c r="A10" s="19">
        <v>43831</v>
      </c>
      <c r="B10" s="20">
        <f>WORKDAY(A10,-7)</f>
        <v>43822</v>
      </c>
      <c r="C10" s="35">
        <v>42.8</v>
      </c>
      <c r="D10" s="36">
        <v>53.75</v>
      </c>
      <c r="E10" s="36">
        <v>36.35</v>
      </c>
      <c r="F10" s="36">
        <v>15.585000000000001</v>
      </c>
      <c r="G10" s="36">
        <v>25.3</v>
      </c>
      <c r="H10" s="42">
        <v>0</v>
      </c>
      <c r="I10" s="42">
        <v>0</v>
      </c>
      <c r="J10" s="42">
        <v>0</v>
      </c>
      <c r="K10" s="40">
        <v>0.35</v>
      </c>
      <c r="L10" s="40">
        <v>0.42</v>
      </c>
      <c r="M10" s="41">
        <v>0.6</v>
      </c>
      <c r="N10" s="23">
        <f>(B10-$B$3)/365</f>
        <v>3.0136986301369864E-2</v>
      </c>
      <c r="O10" s="28">
        <f t="shared" ref="O10:O21" si="0">DAY(EOMONTH(B10,0))</f>
        <v>31</v>
      </c>
      <c r="P10" s="29" t="s">
        <v>9</v>
      </c>
      <c r="Q10" s="30">
        <v>1</v>
      </c>
      <c r="R10" s="31">
        <v>0</v>
      </c>
      <c r="S10" s="1">
        <v>1</v>
      </c>
      <c r="T10" s="1">
        <v>-1</v>
      </c>
      <c r="U10" s="1">
        <v>-1</v>
      </c>
      <c r="V10" s="32">
        <v>2.49897852155555</v>
      </c>
      <c r="W10" s="32">
        <v>0.22997852155556142</v>
      </c>
      <c r="X10" s="32">
        <v>0.22997852155556142</v>
      </c>
      <c r="Y10" s="32">
        <v>2.2689999999999948</v>
      </c>
      <c r="Z10" s="32">
        <v>2.2689999999999948</v>
      </c>
      <c r="AA10" s="32">
        <v>2.2689999999999948</v>
      </c>
      <c r="AB10" s="32">
        <v>0.2299785215555552</v>
      </c>
      <c r="AC10" s="32">
        <v>-2.0390214784444334</v>
      </c>
      <c r="AD10" s="32">
        <v>-2.0390214784444334</v>
      </c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</row>
    <row r="11" spans="1:56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36">
        <v>57</v>
      </c>
      <c r="E11" s="36">
        <v>39.83</v>
      </c>
      <c r="F11" s="36">
        <v>15.8</v>
      </c>
      <c r="G11" s="36">
        <v>25.3</v>
      </c>
      <c r="H11" s="42">
        <v>0</v>
      </c>
      <c r="I11" s="42">
        <v>0</v>
      </c>
      <c r="J11" s="42">
        <v>0</v>
      </c>
      <c r="K11" s="40">
        <f>20%+(K10-20%)*0.95</f>
        <v>0.34249999999999997</v>
      </c>
      <c r="L11" s="40">
        <f>20%+(L10-20%)*0.95</f>
        <v>0.40899999999999997</v>
      </c>
      <c r="M11" s="41">
        <f>80%+(M10-80%)*0.9</f>
        <v>0.62</v>
      </c>
      <c r="N11" s="23">
        <f t="shared" ref="N11:N21" si="2">(B11-$B$3)/365</f>
        <v>0.11506849315068493</v>
      </c>
      <c r="O11" s="28">
        <f t="shared" si="0"/>
        <v>31</v>
      </c>
      <c r="P11" s="29" t="s">
        <v>9</v>
      </c>
      <c r="Q11" s="30">
        <v>1</v>
      </c>
      <c r="R11" s="31">
        <v>0</v>
      </c>
      <c r="S11" s="1">
        <v>1</v>
      </c>
      <c r="T11" s="1">
        <v>-1</v>
      </c>
      <c r="U11" s="1">
        <v>-1</v>
      </c>
      <c r="V11" s="32">
        <v>5.1702200315934377</v>
      </c>
      <c r="W11" s="32">
        <v>0.38122003159344064</v>
      </c>
      <c r="X11" s="32">
        <v>0.38122003159344064</v>
      </c>
      <c r="Y11" s="32">
        <v>4.7889999999999979</v>
      </c>
      <c r="Z11" s="32">
        <v>4.7889999999999979</v>
      </c>
      <c r="AA11" s="32">
        <v>4.7889999999999979</v>
      </c>
      <c r="AB11" s="32">
        <v>0.38122003159343976</v>
      </c>
      <c r="AC11" s="32">
        <v>-4.4077799684065573</v>
      </c>
      <c r="AD11" s="32">
        <v>-4.4077799684065573</v>
      </c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</row>
    <row r="12" spans="1:56" x14ac:dyDescent="0.35">
      <c r="A12" s="19">
        <v>43891</v>
      </c>
      <c r="B12" s="20">
        <f t="shared" si="1"/>
        <v>43881</v>
      </c>
      <c r="C12" s="35">
        <v>41.9</v>
      </c>
      <c r="D12" s="36">
        <v>50.5</v>
      </c>
      <c r="E12" s="36">
        <v>37.159999999999997</v>
      </c>
      <c r="F12" s="36">
        <v>15.455</v>
      </c>
      <c r="G12" s="36">
        <v>25.3</v>
      </c>
      <c r="H12" s="42">
        <v>0</v>
      </c>
      <c r="I12" s="42">
        <v>0</v>
      </c>
      <c r="J12" s="42">
        <v>0</v>
      </c>
      <c r="K12" s="40">
        <f t="shared" ref="K12:L21" si="3">20%+(K11-20%)*0.95</f>
        <v>0.33537499999999998</v>
      </c>
      <c r="L12" s="40">
        <f t="shared" si="3"/>
        <v>0.39854999999999996</v>
      </c>
      <c r="M12" s="41">
        <f t="shared" ref="M12:M21" si="4">80%+(M11-80%)*0.9</f>
        <v>0.63800000000000001</v>
      </c>
      <c r="N12" s="23">
        <f t="shared" si="2"/>
        <v>0.19178082191780821</v>
      </c>
      <c r="O12" s="28">
        <f t="shared" si="0"/>
        <v>29</v>
      </c>
      <c r="P12" s="29" t="s">
        <v>9</v>
      </c>
      <c r="Q12" s="30">
        <v>1</v>
      </c>
      <c r="R12" s="31">
        <v>0</v>
      </c>
      <c r="S12" s="1">
        <v>1</v>
      </c>
      <c r="T12" s="1">
        <v>-1</v>
      </c>
      <c r="U12" s="1">
        <v>-1</v>
      </c>
      <c r="V12" s="32">
        <v>3.1108211377132662</v>
      </c>
      <c r="W12" s="32">
        <v>1.4818211377132684</v>
      </c>
      <c r="X12" s="32">
        <v>1.4818211377132684</v>
      </c>
      <c r="Y12" s="32">
        <v>1.6289999999999978</v>
      </c>
      <c r="Z12" s="32">
        <v>1.6289999999999978</v>
      </c>
      <c r="AA12" s="32">
        <v>1.6289999999999978</v>
      </c>
      <c r="AB12" s="32">
        <v>1.4818211377132684</v>
      </c>
      <c r="AC12" s="32">
        <v>-0.14717886228672938</v>
      </c>
      <c r="AD12" s="32">
        <v>-0.14717886228672938</v>
      </c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</row>
    <row r="13" spans="1:56" x14ac:dyDescent="0.35">
      <c r="A13" s="19">
        <v>43922</v>
      </c>
      <c r="B13" s="20">
        <f t="shared" si="1"/>
        <v>43913</v>
      </c>
      <c r="C13" s="35">
        <v>39.75</v>
      </c>
      <c r="D13" s="36">
        <v>45.6</v>
      </c>
      <c r="E13" s="36">
        <v>36.36</v>
      </c>
      <c r="F13" s="36">
        <v>14.753</v>
      </c>
      <c r="G13" s="36">
        <v>25.3</v>
      </c>
      <c r="H13" s="42">
        <v>0</v>
      </c>
      <c r="I13" s="42">
        <v>0</v>
      </c>
      <c r="J13" s="42">
        <v>0</v>
      </c>
      <c r="K13" s="40">
        <f t="shared" si="3"/>
        <v>0.32860624999999999</v>
      </c>
      <c r="L13" s="40">
        <f t="shared" si="3"/>
        <v>0.38862249999999998</v>
      </c>
      <c r="M13" s="41">
        <f t="shared" si="4"/>
        <v>0.6542</v>
      </c>
      <c r="N13" s="23">
        <f t="shared" si="2"/>
        <v>0.27945205479452057</v>
      </c>
      <c r="O13" s="28">
        <f t="shared" si="0"/>
        <v>31</v>
      </c>
      <c r="P13" s="29" t="s">
        <v>9</v>
      </c>
      <c r="Q13" s="30">
        <v>1</v>
      </c>
      <c r="R13" s="31">
        <v>0</v>
      </c>
      <c r="S13" s="1">
        <v>1</v>
      </c>
      <c r="T13" s="1">
        <v>-1</v>
      </c>
      <c r="U13" s="1">
        <v>-1</v>
      </c>
      <c r="V13" s="32">
        <v>2.9013144742642396</v>
      </c>
      <c r="W13" s="32">
        <v>2.018314474264244</v>
      </c>
      <c r="X13" s="32">
        <v>2.018314474264244</v>
      </c>
      <c r="Y13" s="32">
        <v>0.88299999999999912</v>
      </c>
      <c r="Z13" s="32">
        <v>0.88299999999999912</v>
      </c>
      <c r="AA13" s="32">
        <v>0.88299999999999912</v>
      </c>
      <c r="AB13" s="32">
        <v>2.0183144742642405</v>
      </c>
      <c r="AC13" s="32">
        <v>1.1353144742642449</v>
      </c>
      <c r="AD13" s="32">
        <v>1.1353144742642449</v>
      </c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</row>
    <row r="14" spans="1:56" x14ac:dyDescent="0.35">
      <c r="A14" s="19">
        <v>43952</v>
      </c>
      <c r="B14" s="20">
        <f t="shared" si="1"/>
        <v>43943</v>
      </c>
      <c r="C14" s="35">
        <v>39.75</v>
      </c>
      <c r="D14" s="36">
        <v>45.6</v>
      </c>
      <c r="E14" s="36">
        <v>36.75</v>
      </c>
      <c r="F14" s="36">
        <v>14.484999999999999</v>
      </c>
      <c r="G14" s="36">
        <v>25.3</v>
      </c>
      <c r="H14" s="42">
        <v>0</v>
      </c>
      <c r="I14" s="42">
        <v>0</v>
      </c>
      <c r="J14" s="42">
        <v>0</v>
      </c>
      <c r="K14" s="40">
        <f t="shared" si="3"/>
        <v>0.32217593749999995</v>
      </c>
      <c r="L14" s="40">
        <f t="shared" si="3"/>
        <v>0.379191375</v>
      </c>
      <c r="M14" s="41">
        <f t="shared" si="4"/>
        <v>0.66878000000000004</v>
      </c>
      <c r="N14" s="23">
        <f t="shared" si="2"/>
        <v>0.36164383561643837</v>
      </c>
      <c r="O14" s="28">
        <f t="shared" si="0"/>
        <v>30</v>
      </c>
      <c r="P14" s="29" t="s">
        <v>9</v>
      </c>
      <c r="Q14" s="30">
        <v>1</v>
      </c>
      <c r="R14" s="31">
        <v>0</v>
      </c>
      <c r="S14" s="1">
        <v>1</v>
      </c>
      <c r="T14" s="1">
        <v>-1</v>
      </c>
      <c r="U14" s="1">
        <v>-1</v>
      </c>
      <c r="V14" s="32">
        <v>3.4087071708791967</v>
      </c>
      <c r="W14" s="32">
        <v>1.9897071708792016</v>
      </c>
      <c r="X14" s="32">
        <v>1.9897071708792016</v>
      </c>
      <c r="Y14" s="32">
        <v>1.4190000000000005</v>
      </c>
      <c r="Z14" s="32">
        <v>1.4190000000000005</v>
      </c>
      <c r="AA14" s="32">
        <v>1.4190000000000005</v>
      </c>
      <c r="AB14" s="32">
        <v>1.9897071708791962</v>
      </c>
      <c r="AC14" s="32">
        <v>0.57070717087920109</v>
      </c>
      <c r="AD14" s="32">
        <v>0.57070717087920109</v>
      </c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</row>
    <row r="15" spans="1:56" x14ac:dyDescent="0.35">
      <c r="A15" s="19">
        <v>43983</v>
      </c>
      <c r="B15" s="20">
        <f t="shared" si="1"/>
        <v>43972</v>
      </c>
      <c r="C15" s="35">
        <v>39.75</v>
      </c>
      <c r="D15" s="36">
        <v>45.6</v>
      </c>
      <c r="E15" s="36">
        <v>36.36</v>
      </c>
      <c r="F15" s="36">
        <v>14.353</v>
      </c>
      <c r="G15" s="36">
        <v>25.3</v>
      </c>
      <c r="H15" s="42">
        <v>0</v>
      </c>
      <c r="I15" s="42">
        <v>0</v>
      </c>
      <c r="J15" s="42">
        <v>0</v>
      </c>
      <c r="K15" s="40">
        <f>20%+(K14-20%)*0.95</f>
        <v>0.31606714062499996</v>
      </c>
      <c r="L15" s="40">
        <f t="shared" si="3"/>
        <v>0.37023180624999996</v>
      </c>
      <c r="M15" s="41">
        <f t="shared" si="4"/>
        <v>0.68190200000000001</v>
      </c>
      <c r="N15" s="23">
        <f t="shared" si="2"/>
        <v>0.44109589041095892</v>
      </c>
      <c r="O15" s="28">
        <f t="shared" si="0"/>
        <v>31</v>
      </c>
      <c r="P15" s="29" t="s">
        <v>9</v>
      </c>
      <c r="Q15" s="30">
        <v>1</v>
      </c>
      <c r="R15" s="31">
        <v>0</v>
      </c>
      <c r="S15" s="1">
        <v>1</v>
      </c>
      <c r="T15" s="1">
        <v>-1</v>
      </c>
      <c r="U15" s="1">
        <v>-1</v>
      </c>
      <c r="V15" s="32">
        <v>3.713190546895202</v>
      </c>
      <c r="W15" s="32">
        <v>2.0301905468951986</v>
      </c>
      <c r="X15" s="32">
        <v>2.0301905468951986</v>
      </c>
      <c r="Y15" s="32">
        <v>1.6829999999999998</v>
      </c>
      <c r="Z15" s="32">
        <v>1.6829999999999998</v>
      </c>
      <c r="AA15" s="32">
        <v>1.6829999999999998</v>
      </c>
      <c r="AB15" s="32">
        <v>2.0301905468952022</v>
      </c>
      <c r="AC15" s="32">
        <v>0.34719054689519879</v>
      </c>
      <c r="AD15" s="32">
        <v>0.34719054689519879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</row>
    <row r="16" spans="1:56" x14ac:dyDescent="0.35">
      <c r="A16" s="19">
        <v>44013</v>
      </c>
      <c r="B16" s="20">
        <f t="shared" si="1"/>
        <v>44004</v>
      </c>
      <c r="C16" s="35">
        <v>43.1</v>
      </c>
      <c r="D16" s="36">
        <v>49.6</v>
      </c>
      <c r="E16" s="36">
        <v>39.270000000000003</v>
      </c>
      <c r="F16" s="36">
        <v>14.363</v>
      </c>
      <c r="G16" s="36">
        <v>25.3</v>
      </c>
      <c r="H16" s="42">
        <v>0</v>
      </c>
      <c r="I16" s="42">
        <v>0</v>
      </c>
      <c r="J16" s="42">
        <v>0</v>
      </c>
      <c r="K16" s="40">
        <f t="shared" si="3"/>
        <v>0.31026378359374995</v>
      </c>
      <c r="L16" s="40">
        <f t="shared" si="3"/>
        <v>0.36172021593749992</v>
      </c>
      <c r="M16" s="41">
        <f t="shared" si="4"/>
        <v>0.69371179999999999</v>
      </c>
      <c r="N16" s="23">
        <f t="shared" si="2"/>
        <v>0.52876712328767128</v>
      </c>
      <c r="O16" s="28">
        <f t="shared" si="0"/>
        <v>30</v>
      </c>
      <c r="P16" s="29" t="s">
        <v>9</v>
      </c>
      <c r="Q16" s="30">
        <v>1</v>
      </c>
      <c r="R16" s="31">
        <v>0</v>
      </c>
      <c r="S16" s="1">
        <v>1</v>
      </c>
      <c r="T16" s="1">
        <v>-1</v>
      </c>
      <c r="U16" s="1">
        <v>-1</v>
      </c>
      <c r="V16" s="32">
        <v>6.2025359592316924</v>
      </c>
      <c r="W16" s="32">
        <v>1.1895359592316943</v>
      </c>
      <c r="X16" s="32">
        <v>1.1895359592316943</v>
      </c>
      <c r="Y16" s="32">
        <v>5.0130000000000017</v>
      </c>
      <c r="Z16" s="32">
        <v>5.0130000000000017</v>
      </c>
      <c r="AA16" s="32">
        <v>5.0130000000000017</v>
      </c>
      <c r="AB16" s="32">
        <v>1.1895359592316908</v>
      </c>
      <c r="AC16" s="32">
        <v>-3.8234640407683074</v>
      </c>
      <c r="AD16" s="32">
        <v>-3.8234640407683074</v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</row>
    <row r="17" spans="1:49" x14ac:dyDescent="0.35">
      <c r="A17" s="19">
        <v>44044</v>
      </c>
      <c r="B17" s="20">
        <f t="shared" si="1"/>
        <v>44035</v>
      </c>
      <c r="C17" s="35">
        <v>43.1</v>
      </c>
      <c r="D17" s="36">
        <v>49.6</v>
      </c>
      <c r="E17" s="36">
        <v>39.770000000000003</v>
      </c>
      <c r="F17" s="36">
        <v>14.583</v>
      </c>
      <c r="G17" s="36">
        <v>25.3</v>
      </c>
      <c r="H17" s="42">
        <v>0</v>
      </c>
      <c r="I17" s="42">
        <v>0</v>
      </c>
      <c r="J17" s="42">
        <v>0</v>
      </c>
      <c r="K17" s="40">
        <f t="shared" si="3"/>
        <v>0.30475059441406244</v>
      </c>
      <c r="L17" s="40">
        <f t="shared" si="3"/>
        <v>0.35363420514062494</v>
      </c>
      <c r="M17" s="41">
        <f t="shared" si="4"/>
        <v>0.70434061999999997</v>
      </c>
      <c r="N17" s="23">
        <f t="shared" si="2"/>
        <v>0.61369863013698633</v>
      </c>
      <c r="O17" s="28">
        <f t="shared" si="0"/>
        <v>31</v>
      </c>
      <c r="P17" s="29" t="s">
        <v>9</v>
      </c>
      <c r="Q17" s="30">
        <v>1</v>
      </c>
      <c r="R17" s="31">
        <v>0</v>
      </c>
      <c r="S17" s="1">
        <v>1</v>
      </c>
      <c r="T17" s="1">
        <v>-1</v>
      </c>
      <c r="U17" s="1">
        <v>-1</v>
      </c>
      <c r="V17" s="32">
        <v>5.9946105757761394</v>
      </c>
      <c r="W17" s="32">
        <v>1.4216105757761373</v>
      </c>
      <c r="X17" s="32">
        <v>1.4216105757761373</v>
      </c>
      <c r="Y17" s="32">
        <v>4.5730000000000004</v>
      </c>
      <c r="Z17" s="32">
        <v>4.5730000000000004</v>
      </c>
      <c r="AA17" s="32">
        <v>4.5730000000000004</v>
      </c>
      <c r="AB17" s="32">
        <v>1.421610575776139</v>
      </c>
      <c r="AC17" s="32">
        <v>-3.1513894242238631</v>
      </c>
      <c r="AD17" s="32">
        <v>-3.1513894242238631</v>
      </c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</row>
    <row r="18" spans="1:49" x14ac:dyDescent="0.35">
      <c r="A18" s="19">
        <v>44075</v>
      </c>
      <c r="B18" s="20">
        <f t="shared" si="1"/>
        <v>44064</v>
      </c>
      <c r="C18" s="35">
        <v>43.1</v>
      </c>
      <c r="D18" s="36">
        <v>49.6</v>
      </c>
      <c r="E18" s="36">
        <v>39.340000000000003</v>
      </c>
      <c r="F18" s="36">
        <v>14.77</v>
      </c>
      <c r="G18" s="36">
        <v>25.3</v>
      </c>
      <c r="H18" s="42">
        <v>0</v>
      </c>
      <c r="I18" s="42">
        <v>0</v>
      </c>
      <c r="J18" s="42">
        <v>0</v>
      </c>
      <c r="K18" s="40">
        <f t="shared" si="3"/>
        <v>0.29951306469335931</v>
      </c>
      <c r="L18" s="40">
        <f t="shared" si="3"/>
        <v>0.3459524948835937</v>
      </c>
      <c r="M18" s="41">
        <f t="shared" si="4"/>
        <v>0.71390655800000002</v>
      </c>
      <c r="N18" s="23">
        <f t="shared" si="2"/>
        <v>0.69315068493150689</v>
      </c>
      <c r="O18" s="28">
        <f t="shared" si="0"/>
        <v>31</v>
      </c>
      <c r="P18" s="29" t="s">
        <v>9</v>
      </c>
      <c r="Q18" s="30">
        <v>1</v>
      </c>
      <c r="R18" s="31">
        <v>0</v>
      </c>
      <c r="S18" s="1">
        <v>1</v>
      </c>
      <c r="T18" s="1">
        <v>-1</v>
      </c>
      <c r="U18" s="1">
        <v>-1</v>
      </c>
      <c r="V18" s="32">
        <v>5.8167824313037357</v>
      </c>
      <c r="W18" s="32">
        <v>1.617782431303727</v>
      </c>
      <c r="X18" s="32">
        <v>1.617782431303727</v>
      </c>
      <c r="Y18" s="32">
        <v>4.1990000000000016</v>
      </c>
      <c r="Z18" s="32">
        <v>4.1990000000000016</v>
      </c>
      <c r="AA18" s="32">
        <v>4.1990000000000016</v>
      </c>
      <c r="AB18" s="32">
        <v>1.6177824313037341</v>
      </c>
      <c r="AC18" s="32">
        <v>-2.5812175686962746</v>
      </c>
      <c r="AD18" s="32">
        <v>-2.5812175686962746</v>
      </c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</row>
    <row r="19" spans="1:49" x14ac:dyDescent="0.35">
      <c r="A19" s="19">
        <v>44105</v>
      </c>
      <c r="B19" s="20">
        <f t="shared" si="1"/>
        <v>44096</v>
      </c>
      <c r="C19" s="35">
        <v>48.75</v>
      </c>
      <c r="D19" s="36">
        <v>60.65</v>
      </c>
      <c r="E19" s="36">
        <v>42.22</v>
      </c>
      <c r="F19" s="36">
        <v>16.026</v>
      </c>
      <c r="G19" s="36">
        <v>25.3</v>
      </c>
      <c r="H19" s="42">
        <v>0</v>
      </c>
      <c r="I19" s="42">
        <v>0</v>
      </c>
      <c r="J19" s="42">
        <v>0</v>
      </c>
      <c r="K19" s="40">
        <f t="shared" si="3"/>
        <v>0.29453741145869133</v>
      </c>
      <c r="L19" s="40">
        <f t="shared" si="3"/>
        <v>0.33865487013941398</v>
      </c>
      <c r="M19" s="41">
        <f t="shared" si="4"/>
        <v>0.72251590220000006</v>
      </c>
      <c r="N19" s="23">
        <f t="shared" si="2"/>
        <v>0.78082191780821919</v>
      </c>
      <c r="O19" s="28">
        <f t="shared" si="0"/>
        <v>30</v>
      </c>
      <c r="P19" s="29" t="s">
        <v>9</v>
      </c>
      <c r="Q19" s="30">
        <v>1</v>
      </c>
      <c r="R19" s="31">
        <v>0</v>
      </c>
      <c r="S19" s="1">
        <v>1</v>
      </c>
      <c r="T19" s="1">
        <v>-1</v>
      </c>
      <c r="U19" s="1">
        <v>-1</v>
      </c>
      <c r="V19" s="32">
        <v>8.4807693816845493</v>
      </c>
      <c r="W19" s="32">
        <v>1.1437693816845389</v>
      </c>
      <c r="X19" s="32">
        <v>1.1437693816845389</v>
      </c>
      <c r="Y19" s="32">
        <v>7.3369999999999997</v>
      </c>
      <c r="Z19" s="32">
        <v>7.3369999999999997</v>
      </c>
      <c r="AA19" s="32">
        <v>7.3369999999999997</v>
      </c>
      <c r="AB19" s="32">
        <v>1.1437693816845496</v>
      </c>
      <c r="AC19" s="32">
        <v>-6.1932306183154608</v>
      </c>
      <c r="AD19" s="32">
        <v>-6.1932306183154608</v>
      </c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</row>
    <row r="20" spans="1:49" x14ac:dyDescent="0.35">
      <c r="A20" s="19">
        <v>44136</v>
      </c>
      <c r="B20" s="20">
        <f t="shared" si="1"/>
        <v>44126</v>
      </c>
      <c r="C20" s="35">
        <v>48.75</v>
      </c>
      <c r="D20" s="36">
        <v>60.65</v>
      </c>
      <c r="E20" s="36">
        <v>42.34</v>
      </c>
      <c r="F20" s="36">
        <v>17.968</v>
      </c>
      <c r="G20" s="36">
        <v>25.3</v>
      </c>
      <c r="H20" s="42">
        <v>0</v>
      </c>
      <c r="I20" s="42">
        <v>0</v>
      </c>
      <c r="J20" s="42">
        <v>0</v>
      </c>
      <c r="K20" s="40">
        <f t="shared" si="3"/>
        <v>0.28981054088575675</v>
      </c>
      <c r="L20" s="40">
        <f t="shared" si="3"/>
        <v>0.33172212663244327</v>
      </c>
      <c r="M20" s="41">
        <f t="shared" si="4"/>
        <v>0.73026431198000008</v>
      </c>
      <c r="N20" s="23">
        <f t="shared" si="2"/>
        <v>0.86301369863013699</v>
      </c>
      <c r="O20" s="28">
        <f t="shared" si="0"/>
        <v>31</v>
      </c>
      <c r="P20" s="29" t="s">
        <v>9</v>
      </c>
      <c r="Q20" s="30">
        <v>1</v>
      </c>
      <c r="R20" s="31">
        <v>0</v>
      </c>
      <c r="S20" s="1">
        <v>1</v>
      </c>
      <c r="T20" s="1">
        <v>-1</v>
      </c>
      <c r="U20" s="1">
        <v>-1</v>
      </c>
      <c r="V20" s="32">
        <v>5.9107012190898303</v>
      </c>
      <c r="W20" s="32">
        <v>2.4577012190898291</v>
      </c>
      <c r="X20" s="32">
        <v>2.4577012190898291</v>
      </c>
      <c r="Y20" s="32">
        <v>3.4529999999999994</v>
      </c>
      <c r="Z20" s="32">
        <v>3.4529999999999994</v>
      </c>
      <c r="AA20" s="32">
        <v>3.4529999999999994</v>
      </c>
      <c r="AB20" s="32">
        <v>2.4577012190898309</v>
      </c>
      <c r="AC20" s="32">
        <v>-0.99529878091017032</v>
      </c>
      <c r="AD20" s="32">
        <v>-0.99529878091017032</v>
      </c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</row>
    <row r="21" spans="1:49" x14ac:dyDescent="0.35">
      <c r="A21" s="19">
        <v>44166</v>
      </c>
      <c r="B21" s="20">
        <f t="shared" si="1"/>
        <v>44155</v>
      </c>
      <c r="C21" s="35">
        <v>48.75</v>
      </c>
      <c r="D21" s="36">
        <v>60.65</v>
      </c>
      <c r="E21" s="36">
        <v>41.73</v>
      </c>
      <c r="F21" s="36">
        <v>18.376000000000001</v>
      </c>
      <c r="G21" s="36">
        <v>25.3</v>
      </c>
      <c r="H21" s="42">
        <v>0</v>
      </c>
      <c r="I21" s="42">
        <v>0</v>
      </c>
      <c r="J21" s="42">
        <v>0</v>
      </c>
      <c r="K21" s="40">
        <f t="shared" si="3"/>
        <v>0.28532001384146888</v>
      </c>
      <c r="L21" s="40">
        <f t="shared" si="3"/>
        <v>0.32513602030082112</v>
      </c>
      <c r="M21" s="41">
        <f t="shared" si="4"/>
        <v>0.73723788078200003</v>
      </c>
      <c r="N21" s="23">
        <f t="shared" si="2"/>
        <v>0.94246575342465755</v>
      </c>
      <c r="O21" s="28">
        <f t="shared" si="0"/>
        <v>30</v>
      </c>
      <c r="P21" s="29" t="s">
        <v>9</v>
      </c>
      <c r="Q21" s="30">
        <v>1</v>
      </c>
      <c r="R21" s="31">
        <v>0</v>
      </c>
      <c r="S21" s="1">
        <v>1</v>
      </c>
      <c r="T21" s="1">
        <v>-1</v>
      </c>
      <c r="U21" s="1">
        <v>-1</v>
      </c>
      <c r="V21" s="32">
        <v>5.4879435650209736</v>
      </c>
      <c r="W21" s="32">
        <v>2.8509435650209731</v>
      </c>
      <c r="X21" s="32">
        <v>2.8509435650209731</v>
      </c>
      <c r="Y21" s="32">
        <v>2.6369999999999969</v>
      </c>
      <c r="Z21" s="32">
        <v>2.6369999999999969</v>
      </c>
      <c r="AA21" s="32">
        <v>2.6369999999999969</v>
      </c>
      <c r="AB21" s="32">
        <v>2.8509435650209767</v>
      </c>
      <c r="AC21" s="32">
        <v>0.21394356502097622</v>
      </c>
      <c r="AD21" s="32">
        <v>0.21394356502097622</v>
      </c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</row>
    <row r="22" spans="1:49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49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phoneticPr fontId="7" type="noConversion"/>
  <dataValidations count="1">
    <dataValidation type="list" allowBlank="1" showInputMessage="1" showErrorMessage="1" sqref="P10:P21" xr:uid="{261E443D-3077-49DA-B329-5C1128EFDD14}">
      <formula1>$I$5:$I$7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Legend</vt:lpstr>
      <vt:lpstr>Temp</vt:lpstr>
      <vt:lpstr>PowerOpt</vt:lpstr>
      <vt:lpstr>PowerOpt-Collar</vt:lpstr>
      <vt:lpstr>PowerOpt-EnhancedCollar</vt:lpstr>
      <vt:lpstr>AsianOpt</vt:lpstr>
      <vt:lpstr>AsianOpt-Collar</vt:lpstr>
      <vt:lpstr>AsianOpt-EnhancedCollar</vt:lpstr>
      <vt:lpstr>SparkSpread-Tolling</vt:lpstr>
      <vt:lpstr>SparkSpread-Collar</vt:lpstr>
      <vt:lpstr>SparkSpread-EnhancedCollar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daplet chris</dc:creator>
  <cp:lastModifiedBy>daplet chris</cp:lastModifiedBy>
  <dcterms:created xsi:type="dcterms:W3CDTF">2020-04-06T13:07:42Z</dcterms:created>
  <dcterms:modified xsi:type="dcterms:W3CDTF">2020-04-14T09:40:51Z</dcterms:modified>
</cp:coreProperties>
</file>