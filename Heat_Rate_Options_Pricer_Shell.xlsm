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8_{32157B06-FAEF-47D3-BD15-43273DFD3305}" xr6:coauthVersionLast="45" xr6:coauthVersionMax="45" xr10:uidLastSave="{00000000-0000-0000-0000-000000000000}"/>
  <bookViews>
    <workbookView xWindow="-110" yWindow="-110" windowWidth="19420" windowHeight="10420" firstSheet="3" activeTab="3" xr2:uid="{00000000-000D-0000-FFFF-FFFF00000000}"/>
  </bookViews>
  <sheets>
    <sheet name="Data" sheetId="2" state="hidden" r:id="rId1"/>
    <sheet name="Summary" sheetId="9" state="hidden" r:id="rId2"/>
    <sheet name="Exc1" sheetId="4" state="hidden" r:id="rId3"/>
    <sheet name="Asian Curran" sheetId="10" r:id="rId4"/>
    <sheet name="Exc2" sheetId="7" state="hidden" r:id="rId5"/>
    <sheet name="Exc3" sheetId="8" state="hidden" r:id="rId6"/>
  </sheets>
  <functionGroups builtInGroupCount="19">
    <functionGroup name="ObjectHandler"/>
  </functionGroup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512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emission">Data!$J$4</definedName>
    <definedName name="HR">Data!$J$3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valuation_date">Data!$B$3</definedName>
  </definedNames>
  <calcPr calcId="181029" calcMode="autoNoTable"/>
  <extLst>
    <ext xmlns:x14="http://schemas.microsoft.com/office/spreadsheetml/2009/9/main" uri="{8193D73E-4604-4355-AFF4-8A2333D13BE4}">
      <x14:definedNames>
        <x14:definedName name="AsianOption_Curran_Pri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AsianOptionMC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AsianOptMC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CurranApp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Kirk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0" l="1"/>
  <c r="H12" i="10"/>
  <c r="B2" i="10"/>
  <c r="G5" i="10" s="1"/>
  <c r="P5" i="10"/>
  <c r="R5" i="10"/>
  <c r="Q5" i="10"/>
  <c r="T5" i="10" l="1"/>
  <c r="U5" i="10" s="1"/>
  <c r="G11" i="10"/>
  <c r="G12" i="10"/>
  <c r="G6" i="10"/>
  <c r="C13" i="4"/>
  <c r="C14" i="4"/>
  <c r="C15" i="4"/>
  <c r="C16" i="4"/>
  <c r="C17" i="4"/>
  <c r="C18" i="4"/>
  <c r="C19" i="4"/>
  <c r="C20" i="4"/>
  <c r="C9" i="4"/>
  <c r="C10" i="4"/>
  <c r="C11" i="4"/>
  <c r="R11" i="10"/>
  <c r="Q11" i="10"/>
  <c r="P11" i="10"/>
  <c r="P12" i="10"/>
  <c r="Q12" i="10"/>
  <c r="R12" i="10"/>
  <c r="P6" i="10"/>
  <c r="R6" i="10"/>
  <c r="Q6" i="10"/>
  <c r="B13" i="4"/>
  <c r="B17" i="4"/>
  <c r="B20" i="4"/>
  <c r="B10" i="4"/>
  <c r="B19" i="4"/>
  <c r="B15" i="4"/>
  <c r="B11" i="4"/>
  <c r="B18" i="4"/>
  <c r="B16" i="4"/>
  <c r="B9" i="4"/>
  <c r="B14" i="4"/>
  <c r="T12" i="10" l="1"/>
  <c r="U12" i="10" s="1"/>
  <c r="T11" i="10"/>
  <c r="U11" i="10" s="1"/>
  <c r="T6" i="10"/>
  <c r="U6" i="10" s="1"/>
  <c r="D18" i="4"/>
  <c r="D15" i="4"/>
  <c r="D20" i="4"/>
  <c r="D16" i="4"/>
  <c r="D14" i="4"/>
  <c r="D19" i="4"/>
  <c r="D17" i="4"/>
  <c r="D13" i="4"/>
  <c r="D11" i="4"/>
  <c r="D10" i="4"/>
  <c r="D9" i="4"/>
  <c r="D58" i="8"/>
  <c r="K12" i="4" l="1"/>
  <c r="C12" i="4"/>
  <c r="N10" i="2"/>
  <c r="N11" i="2"/>
  <c r="N12" i="2"/>
  <c r="N13" i="2"/>
  <c r="N14" i="2"/>
  <c r="N15" i="2"/>
  <c r="N16" i="2"/>
  <c r="N17" i="2"/>
  <c r="N18" i="2"/>
  <c r="N19" i="2"/>
  <c r="N20" i="2"/>
  <c r="N21" i="2"/>
  <c r="M9" i="8"/>
  <c r="C9" i="8" s="1"/>
  <c r="B14" i="8"/>
  <c r="B11" i="8"/>
  <c r="B20" i="8"/>
  <c r="B13" i="7"/>
  <c r="B18" i="7"/>
  <c r="B9" i="7"/>
  <c r="B16" i="8"/>
  <c r="B9" i="8"/>
  <c r="B19" i="7"/>
  <c r="B10" i="8"/>
  <c r="B12" i="8"/>
  <c r="B12" i="7"/>
  <c r="B16" i="7"/>
  <c r="B18" i="8"/>
  <c r="B15" i="8"/>
  <c r="B17" i="8"/>
  <c r="B17" i="7"/>
  <c r="B15" i="7"/>
  <c r="B10" i="7"/>
  <c r="B19" i="8"/>
  <c r="B20" i="7"/>
  <c r="B11" i="7"/>
  <c r="B13" i="8"/>
  <c r="B14" i="7"/>
  <c r="B12" i="4"/>
  <c r="D12" i="4" l="1"/>
  <c r="D3" i="4"/>
  <c r="M10" i="8"/>
  <c r="M11" i="8"/>
  <c r="M12" i="8"/>
  <c r="M13" i="8"/>
  <c r="M14" i="8"/>
  <c r="M15" i="8"/>
  <c r="M16" i="8"/>
  <c r="M17" i="8"/>
  <c r="M18" i="8"/>
  <c r="M19" i="8"/>
  <c r="M20" i="8"/>
  <c r="K20" i="8"/>
  <c r="K19" i="8"/>
  <c r="K18" i="8"/>
  <c r="K17" i="8"/>
  <c r="K16" i="8"/>
  <c r="K15" i="8"/>
  <c r="K14" i="8"/>
  <c r="K13" i="8"/>
  <c r="K12" i="8"/>
  <c r="K11" i="8"/>
  <c r="K10" i="8"/>
  <c r="K9" i="8"/>
  <c r="K20" i="7"/>
  <c r="C20" i="7"/>
  <c r="K19" i="7"/>
  <c r="C19" i="7"/>
  <c r="K18" i="7"/>
  <c r="C18" i="7"/>
  <c r="K17" i="7"/>
  <c r="C17" i="7"/>
  <c r="K16" i="7"/>
  <c r="C16" i="7"/>
  <c r="K15" i="7"/>
  <c r="C15" i="7"/>
  <c r="K14" i="7"/>
  <c r="C14" i="7"/>
  <c r="K13" i="7"/>
  <c r="C13" i="7"/>
  <c r="K12" i="7"/>
  <c r="C12" i="7"/>
  <c r="K11" i="7"/>
  <c r="C11" i="7"/>
  <c r="K10" i="7"/>
  <c r="C10" i="7"/>
  <c r="K9" i="7"/>
  <c r="C9" i="7"/>
  <c r="C19" i="8" l="1"/>
  <c r="C15" i="8"/>
  <c r="C11" i="8"/>
  <c r="C18" i="8"/>
  <c r="C17" i="8"/>
  <c r="C13" i="8"/>
  <c r="C16" i="8"/>
  <c r="C12" i="8"/>
  <c r="C14" i="8"/>
  <c r="C10" i="8"/>
  <c r="C20" i="8"/>
  <c r="J11" i="2" l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I11" i="2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B11" i="2"/>
  <c r="K11" i="2" s="1"/>
  <c r="B12" i="2"/>
  <c r="K12" i="2" s="1"/>
  <c r="B13" i="2"/>
  <c r="K13" i="2" s="1"/>
  <c r="B14" i="2"/>
  <c r="K14" i="2" s="1"/>
  <c r="B15" i="2"/>
  <c r="K15" i="2" s="1"/>
  <c r="B16" i="2"/>
  <c r="K16" i="2" s="1"/>
  <c r="B17" i="2"/>
  <c r="K17" i="2" s="1"/>
  <c r="B18" i="2"/>
  <c r="K18" i="2" s="1"/>
  <c r="B19" i="2"/>
  <c r="K19" i="2" s="1"/>
  <c r="B20" i="2"/>
  <c r="K20" i="2" s="1"/>
  <c r="B21" i="2"/>
  <c r="K21" i="2" s="1"/>
  <c r="B10" i="2"/>
  <c r="K10" i="2" s="1"/>
  <c r="H11" i="2"/>
  <c r="H12" i="2" s="1"/>
  <c r="H13" i="2" s="1"/>
  <c r="H14" i="2" s="1"/>
  <c r="D9" i="8" l="1"/>
  <c r="D9" i="7"/>
  <c r="D7" i="9"/>
  <c r="D12" i="7"/>
  <c r="H15" i="2"/>
  <c r="D13" i="8"/>
  <c r="D12" i="8"/>
  <c r="D11" i="8"/>
  <c r="D10" i="8"/>
  <c r="D13" i="7"/>
  <c r="D11" i="7"/>
  <c r="D10" i="7"/>
  <c r="D14" i="7" l="1"/>
  <c r="D14" i="8"/>
  <c r="H16" i="2"/>
  <c r="D15" i="7" l="1"/>
  <c r="D15" i="8"/>
  <c r="H17" i="2"/>
  <c r="D16" i="7" l="1"/>
  <c r="D16" i="8"/>
  <c r="H18" i="2"/>
  <c r="D17" i="7" l="1"/>
  <c r="D17" i="8"/>
  <c r="H19" i="2"/>
  <c r="D18" i="7" l="1"/>
  <c r="D18" i="8"/>
  <c r="H20" i="2"/>
  <c r="D19" i="7" l="1"/>
  <c r="D19" i="8"/>
  <c r="H21" i="2"/>
  <c r="D3" i="8" l="1"/>
  <c r="D52" i="9" s="1"/>
  <c r="D20" i="7"/>
  <c r="D3" i="7"/>
  <c r="D29" i="9" s="1"/>
  <c r="D2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daplet chris</author>
  </authors>
  <commentList>
    <comment ref="N10" authorId="0" shapeId="0" xr:uid="{5A2358F2-EF8C-435C-A9E5-6A475B66A5EE}">
      <text>
        <r>
          <rPr>
            <b/>
            <sz val="9"/>
            <color indexed="81"/>
            <rFont val="Tahoma"/>
            <family val="2"/>
          </rPr>
          <t>daplet chris:</t>
        </r>
        <r>
          <rPr>
            <sz val="9"/>
            <color indexed="81"/>
            <rFont val="Tahoma"/>
            <family val="2"/>
          </rPr>
          <t xml:space="preserve">
Baseload = Peak + Offpeak
or 
Baseload x 2 - Peak = OffPeaak
or
Baseload  x 2 - OffPeak = Peak</t>
        </r>
      </text>
    </comment>
  </commentList>
</comments>
</file>

<file path=xl/sharedStrings.xml><?xml version="1.0" encoding="utf-8"?>
<sst xmlns="http://schemas.openxmlformats.org/spreadsheetml/2006/main" count="186" uniqueCount="61">
  <si>
    <t>Month-Year</t>
  </si>
  <si>
    <t>Base</t>
  </si>
  <si>
    <t>Peak</t>
  </si>
  <si>
    <t>OP</t>
  </si>
  <si>
    <t>EU/MWh</t>
  </si>
  <si>
    <t>Valuation date</t>
  </si>
  <si>
    <t>Exercise Date</t>
  </si>
  <si>
    <t>POWER</t>
  </si>
  <si>
    <t>GAS</t>
  </si>
  <si>
    <t>CO2</t>
  </si>
  <si>
    <t>EU/ton</t>
  </si>
  <si>
    <t>Tons of CO2 per MWh power produced:</t>
  </si>
  <si>
    <t>Gas burn efficiency:</t>
  </si>
  <si>
    <t>Hours Peak</t>
  </si>
  <si>
    <t>Hours Off-Peak (OP)</t>
  </si>
  <si>
    <t>VOL POWER</t>
  </si>
  <si>
    <t>VOL "GAS + CO2"</t>
  </si>
  <si>
    <t>Correlation POWER vs "GAS + CO2"</t>
  </si>
  <si>
    <t>Intrinsic</t>
  </si>
  <si>
    <t>Extrinsic</t>
  </si>
  <si>
    <t>Premium_FV</t>
  </si>
  <si>
    <t>Num_Days</t>
  </si>
  <si>
    <t>Peak_OffPeak</t>
  </si>
  <si>
    <t>Capacity_Factor</t>
  </si>
  <si>
    <t>T</t>
  </si>
  <si>
    <t>EU/MWh premium for a European option</t>
  </si>
  <si>
    <t>Exercice 1</t>
  </si>
  <si>
    <t>Exercice 2</t>
  </si>
  <si>
    <t>Exercice 3</t>
  </si>
  <si>
    <t>Power Tolling - Summary</t>
  </si>
  <si>
    <t>Comments</t>
  </si>
  <si>
    <t>Inequality Baseload vs Peak/OffPeak to review:</t>
  </si>
  <si>
    <t>Volume Weighted Average EU/MWh Premium (Base)</t>
  </si>
  <si>
    <t>Volume Weighted Average EU/MWh Premium (Peak/OP)</t>
  </si>
  <si>
    <t>Delta_1</t>
  </si>
  <si>
    <t>Delta_2</t>
  </si>
  <si>
    <t>Vega_1</t>
  </si>
  <si>
    <t>Vega_2</t>
  </si>
  <si>
    <t>Gamma_1</t>
  </si>
  <si>
    <t>Gamma_2</t>
  </si>
  <si>
    <t>S</t>
  </si>
  <si>
    <t>M</t>
  </si>
  <si>
    <t>R</t>
  </si>
  <si>
    <t>DIV</t>
  </si>
  <si>
    <t>VOL</t>
  </si>
  <si>
    <t>Call Strike</t>
  </si>
  <si>
    <t>Put Strike 1</t>
  </si>
  <si>
    <t>Put Strike 2</t>
  </si>
  <si>
    <t>Call</t>
  </si>
  <si>
    <t>Put1</t>
  </si>
  <si>
    <t>Put2</t>
  </si>
  <si>
    <t>Call Prem</t>
  </si>
  <si>
    <t>Put1 Prem</t>
  </si>
  <si>
    <t>Put2 Prem</t>
  </si>
  <si>
    <t>Sim</t>
  </si>
  <si>
    <t>Cost</t>
  </si>
  <si>
    <t>Tenor</t>
  </si>
  <si>
    <t>Sum 21</t>
  </si>
  <si>
    <t>Sum 22</t>
  </si>
  <si>
    <t>Valuation Date</t>
  </si>
  <si>
    <t>Screenshot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</si>
</sst>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%"/>
    <numFmt numFmtId="166" formatCode="_-* #,##0.00\ _€_-;\-* #,##0.00\ _€_-;_-* &quot;-&quot;??\ _€_-;_-@_-"/>
    <numFmt numFmtId="167" formatCode="0.000"/>
    <numFmt numFmtId="168" formatCode="0.000_ ;[Red]\-0.000\ "/>
    <numFmt numFmtId="169" formatCode="#,##0.000_ ;[Red]\-#,##0.000\ "/>
    <numFmt numFmtId="170" formatCode="#,##0_ ;[Red]\-#,##0\ "/>
    <numFmt numFmtId="171" formatCode="0_ ;[Red]\-0\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rial"/>
      <family val="2"/>
    </font>
    <font>
      <b/>
      <i/>
      <sz val="10"/>
      <color theme="0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167" fontId="3" fillId="2" borderId="1" xfId="0" applyNumberFormat="1" applyFont="1" applyFill="1" applyBorder="1"/>
    <xf numFmtId="15" fontId="0" fillId="2" borderId="0" xfId="0" applyNumberFormat="1" applyFill="1"/>
    <xf numFmtId="166" fontId="0" fillId="2" borderId="0" xfId="0" applyNumberFormat="1" applyFill="1"/>
    <xf numFmtId="0" fontId="2" fillId="2" borderId="0" xfId="0" applyFont="1" applyFill="1"/>
    <xf numFmtId="0" fontId="7" fillId="2" borderId="0" xfId="0" applyFont="1" applyFill="1"/>
    <xf numFmtId="14" fontId="0" fillId="2" borderId="1" xfId="0" applyNumberFormat="1" applyFill="1" applyBorder="1"/>
    <xf numFmtId="0" fontId="4" fillId="3" borderId="4" xfId="0" applyFont="1" applyFill="1" applyBorder="1"/>
    <xf numFmtId="0" fontId="4" fillId="3" borderId="5" xfId="0" applyFont="1" applyFill="1" applyBorder="1"/>
    <xf numFmtId="9" fontId="8" fillId="2" borderId="6" xfId="0" applyNumberFormat="1" applyFont="1" applyFill="1" applyBorder="1"/>
    <xf numFmtId="0" fontId="4" fillId="3" borderId="7" xfId="0" applyFont="1" applyFill="1" applyBorder="1"/>
    <xf numFmtId="0" fontId="4" fillId="3" borderId="0" xfId="0" applyFont="1" applyFill="1" applyBorder="1"/>
    <xf numFmtId="0" fontId="8" fillId="2" borderId="8" xfId="0" applyFont="1" applyFill="1" applyBorder="1"/>
    <xf numFmtId="9" fontId="8" fillId="2" borderId="8" xfId="0" applyNumberFormat="1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9" fontId="8" fillId="2" borderId="11" xfId="0" applyNumberFormat="1" applyFont="1" applyFill="1" applyBorder="1"/>
    <xf numFmtId="0" fontId="2" fillId="3" borderId="0" xfId="0" applyFont="1" applyFill="1" applyAlignment="1">
      <alignment horizontal="center"/>
    </xf>
    <xf numFmtId="17" fontId="0" fillId="2" borderId="0" xfId="0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9" fontId="0" fillId="2" borderId="0" xfId="2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0" fontId="5" fillId="3" borderId="0" xfId="0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71" fontId="0" fillId="2" borderId="0" xfId="0" applyNumberFormat="1" applyFill="1" applyAlignment="1">
      <alignment horizontal="center"/>
    </xf>
    <xf numFmtId="164" fontId="0" fillId="2" borderId="0" xfId="1" applyFont="1" applyFill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7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7" fontId="0" fillId="2" borderId="0" xfId="0" applyNumberFormat="1" applyFill="1" applyAlignment="1">
      <alignment horizontal="left"/>
    </xf>
    <xf numFmtId="15" fontId="0" fillId="2" borderId="0" xfId="0" applyNumberFormat="1" applyFill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11" fillId="2" borderId="0" xfId="0" applyFont="1" applyFill="1"/>
    <xf numFmtId="0" fontId="9" fillId="2" borderId="0" xfId="0" applyFont="1" applyFill="1"/>
    <xf numFmtId="2" fontId="0" fillId="2" borderId="0" xfId="0" applyNumberFormat="1" applyFill="1" applyAlignment="1">
      <alignment horizontal="left"/>
    </xf>
    <xf numFmtId="0" fontId="2" fillId="3" borderId="2" xfId="0" applyFont="1" applyFill="1" applyBorder="1"/>
    <xf numFmtId="166" fontId="0" fillId="2" borderId="0" xfId="0" applyNumberFormat="1" applyFill="1" applyAlignment="1">
      <alignment horizontal="center"/>
    </xf>
    <xf numFmtId="0" fontId="0" fillId="0" borderId="0" xfId="0" quotePrefix="1"/>
    <xf numFmtId="167" fontId="0" fillId="0" borderId="0" xfId="0" quotePrefix="1" applyNumberFormat="1"/>
    <xf numFmtId="167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4" borderId="0" xfId="0" applyFill="1"/>
    <xf numFmtId="167" fontId="0" fillId="4" borderId="0" xfId="0" quotePrefix="1" applyNumberFormat="1" applyFill="1"/>
    <xf numFmtId="167" fontId="0" fillId="4" borderId="0" xfId="0" applyNumberFormat="1" applyFill="1"/>
    <xf numFmtId="0" fontId="3" fillId="0" borderId="0" xfId="0" applyFont="1"/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10" fillId="3" borderId="2" xfId="0" applyFont="1" applyFill="1" applyBorder="1" applyAlignment="1">
      <alignment horizontal="left"/>
    </xf>
    <xf numFmtId="0" fontId="10" fillId="3" borderId="3" xfId="0" applyFont="1" applyFill="1" applyBorder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Options Value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'Exc2'!$C$8</c:f>
              <c:strCache>
                <c:ptCount val="1"/>
                <c:pt idx="0">
                  <c:v>Intrinsic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'Exc2'!$A$9:$A$20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'Exc2'!$C$9:$C$20</c:f>
              <c:numCache>
                <c:formatCode>#\ ##0.000_ ;[Red]\-#\ ##0.000\ </c:formatCode>
                <c:ptCount val="12"/>
                <c:pt idx="0">
                  <c:v>2.2689999999999948</c:v>
                </c:pt>
                <c:pt idx="1">
                  <c:v>4.7889999999999979</c:v>
                </c:pt>
                <c:pt idx="2">
                  <c:v>1.6289999999999978</c:v>
                </c:pt>
                <c:pt idx="3">
                  <c:v>0.88299999999999912</c:v>
                </c:pt>
                <c:pt idx="4">
                  <c:v>1.4190000000000005</c:v>
                </c:pt>
                <c:pt idx="5">
                  <c:v>1.6829999999999998</c:v>
                </c:pt>
                <c:pt idx="6">
                  <c:v>5.0130000000000017</c:v>
                </c:pt>
                <c:pt idx="7">
                  <c:v>4.5730000000000004</c:v>
                </c:pt>
                <c:pt idx="8">
                  <c:v>4.1990000000000016</c:v>
                </c:pt>
                <c:pt idx="9">
                  <c:v>7.3369999999999997</c:v>
                </c:pt>
                <c:pt idx="10">
                  <c:v>3.4529999999999994</c:v>
                </c:pt>
                <c:pt idx="11">
                  <c:v>2.6369999999999969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56-4C48-8089-951464EB53BF}"/>
            </c:ext>
          </c:extLst>
        </c:ser>
        <c:ser>
          <c:idx val="1"/>
          <c:order val="1"/>
          <c:tx>
            <c:strRef>
              <c:f>'Exc2'!$D$8</c:f>
              <c:strCache>
                <c:ptCount val="1"/>
                <c:pt idx="0">
                  <c:v>Extrinsic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'Exc2'!$A$9:$A$20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'Exc2'!$D$9:$D$20</c:f>
              <c:numCache>
                <c:formatCode>#\ ##0.000_ ;[Red]\-#\ ##0.000\ </c:formatCode>
                <c:ptCount val="12"/>
                <c:pt idx="0">
                  <c:v>0.2557219039049663</c:v>
                </c:pt>
                <c:pt idx="1">
                  <c:v>0.42362666832180551</c:v>
                </c:pt>
                <c:pt idx="2">
                  <c:v>1.5540300231786688</c:v>
                </c:pt>
                <c:pt idx="3">
                  <c:v>2.0937686272518476</c:v>
                </c:pt>
                <c:pt idx="4">
                  <c:v>2.0630737875871326</c:v>
                </c:pt>
                <c:pt idx="5">
                  <c:v>2.1000617220808238</c:v>
                </c:pt>
                <c:pt idx="6">
                  <c:v>1.2477547901825048</c:v>
                </c:pt>
                <c:pt idx="7">
                  <c:v>1.4803157682660704</c:v>
                </c:pt>
                <c:pt idx="8">
                  <c:v>1.6755760892042346</c:v>
                </c:pt>
                <c:pt idx="9">
                  <c:v>1.1978898408641712</c:v>
                </c:pt>
                <c:pt idx="10">
                  <c:v>2.5328089154080935</c:v>
                </c:pt>
                <c:pt idx="11">
                  <c:v>2.9276258966039563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56-4C48-8089-951464EB5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3358224"/>
        <c:axId val="913358552"/>
      </c:barChart>
      <c:dateAx>
        <c:axId val="91335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8552"/>
        <c:crosses val="autoZero"/>
        <c:auto val="1"/>
        <c:lblOffset val="100"/>
        <c:baseTimeUnit val="months"/>
      </c:dateAx>
      <c:valAx>
        <c:axId val="91335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EUR/MWh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Options Value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'Exc3'!$C$8</c:f>
              <c:strCache>
                <c:ptCount val="1"/>
                <c:pt idx="0">
                  <c:v>Intrinsic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'Exc3'!$A$9:$A$20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'Exc3'!$C$9:$C$20</c:f>
              <c:numCache>
                <c:formatCode>#\ ##0.000_ ;[Red]\-#\ ##0.000\ </c:formatCode>
                <c:ptCount val="12"/>
                <c:pt idx="0">
                  <c:v>-2.7176500000000008</c:v>
                </c:pt>
                <c:pt idx="1">
                  <c:v>-0.73515000000000252</c:v>
                </c:pt>
                <c:pt idx="2">
                  <c:v>-2.022150000000003</c:v>
                </c:pt>
                <c:pt idx="3">
                  <c:v>-1.6295500000000009</c:v>
                </c:pt>
                <c:pt idx="4">
                  <c:v>-1.0276499999999997</c:v>
                </c:pt>
                <c:pt idx="5">
                  <c:v>-1.1095500000000005</c:v>
                </c:pt>
                <c:pt idx="6">
                  <c:v>0.76895000000000224</c:v>
                </c:pt>
                <c:pt idx="7">
                  <c:v>0.80795000000000139</c:v>
                </c:pt>
                <c:pt idx="8">
                  <c:v>0.28535000000000238</c:v>
                </c:pt>
                <c:pt idx="9">
                  <c:v>0.52454999999999907</c:v>
                </c:pt>
                <c:pt idx="10">
                  <c:v>-1.9220499999999983</c:v>
                </c:pt>
                <c:pt idx="11">
                  <c:v>-2.8489500000000043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1-44D3-BB2F-468B3DED3654}"/>
            </c:ext>
          </c:extLst>
        </c:ser>
        <c:ser>
          <c:idx val="1"/>
          <c:order val="1"/>
          <c:tx>
            <c:strRef>
              <c:f>'Exc3'!$D$8</c:f>
              <c:strCache>
                <c:ptCount val="1"/>
                <c:pt idx="0">
                  <c:v>Extrinsic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'Exc3'!$A$9:$A$20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'Exc3'!$D$9:$D$20</c:f>
              <c:numCache>
                <c:formatCode>#\ ##0.000_ ;[Red]\-#\ ##0.000\ </c:formatCode>
                <c:ptCount val="12"/>
                <c:pt idx="0">
                  <c:v>2.7397307712102883</c:v>
                </c:pt>
                <c:pt idx="1">
                  <c:v>1.5862874030176703</c:v>
                </c:pt>
                <c:pt idx="2">
                  <c:v>2.6319742068929033</c:v>
                </c:pt>
                <c:pt idx="3">
                  <c:v>2.5092282176688978</c:v>
                </c:pt>
                <c:pt idx="4">
                  <c:v>2.2592285066148121</c:v>
                </c:pt>
                <c:pt idx="5">
                  <c:v>2.3894998757128185</c:v>
                </c:pt>
                <c:pt idx="6">
                  <c:v>1.5852297143023286</c:v>
                </c:pt>
                <c:pt idx="7">
                  <c:v>1.6626872493313867</c:v>
                </c:pt>
                <c:pt idx="8">
                  <c:v>1.9502524378647461</c:v>
                </c:pt>
                <c:pt idx="9">
                  <c:v>2.0366282602262498</c:v>
                </c:pt>
                <c:pt idx="10">
                  <c:v>3.5192430203008822</c:v>
                </c:pt>
                <c:pt idx="11">
                  <c:v>4.1548403732538119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1-44D3-BB2F-468B3DED3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3357896"/>
        <c:axId val="913356912"/>
      </c:barChart>
      <c:dateAx>
        <c:axId val="91335789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6912"/>
        <c:crosses val="autoZero"/>
        <c:auto val="1"/>
        <c:lblOffset val="100"/>
        <c:baseTimeUnit val="months"/>
      </c:dateAx>
      <c:valAx>
        <c:axId val="913356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EUR/MWh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7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Options Value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'Exc2'!$C$8</c:f>
              <c:strCache>
                <c:ptCount val="1"/>
                <c:pt idx="0">
                  <c:v>Intrinsic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'Exc2'!$A$9:$A$20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'Exc1'!$C$9:$C$20</c:f>
              <c:numCache>
                <c:formatCode>0.000_ ;[Red]\-0.000\ </c:formatCode>
                <c:ptCount val="12"/>
                <c:pt idx="0">
                  <c:v>2.2689999999999948</c:v>
                </c:pt>
                <c:pt idx="1">
                  <c:v>4.7889999999999979</c:v>
                </c:pt>
                <c:pt idx="2">
                  <c:v>1.6289999999999978</c:v>
                </c:pt>
                <c:pt idx="3">
                  <c:v>0.88299999999999912</c:v>
                </c:pt>
                <c:pt idx="4">
                  <c:v>1.4190000000000005</c:v>
                </c:pt>
                <c:pt idx="5">
                  <c:v>1.6829999999999998</c:v>
                </c:pt>
                <c:pt idx="6">
                  <c:v>5.0130000000000017</c:v>
                </c:pt>
                <c:pt idx="7">
                  <c:v>4.5730000000000004</c:v>
                </c:pt>
                <c:pt idx="8">
                  <c:v>4.1990000000000016</c:v>
                </c:pt>
                <c:pt idx="9">
                  <c:v>7.3369999999999997</c:v>
                </c:pt>
                <c:pt idx="10">
                  <c:v>3.4529999999999994</c:v>
                </c:pt>
                <c:pt idx="11">
                  <c:v>2.6369999999999969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9-48CD-AC08-167570A356A6}"/>
            </c:ext>
          </c:extLst>
        </c:ser>
        <c:ser>
          <c:idx val="1"/>
          <c:order val="1"/>
          <c:tx>
            <c:strRef>
              <c:f>'Exc2'!$D$8</c:f>
              <c:strCache>
                <c:ptCount val="1"/>
                <c:pt idx="0">
                  <c:v>Extrinsic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'Exc2'!$A$9:$A$20</c:f>
              <c:numCache>
                <c:formatCode>mmm\-yy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'Exc1'!$D$9:$D$20</c:f>
              <c:numCache>
                <c:formatCode>0.000_ ;[Red]\-0.000\ </c:formatCode>
                <c:ptCount val="12"/>
                <c:pt idx="0">
                  <c:v>0.2557219039049663</c:v>
                </c:pt>
                <c:pt idx="1">
                  <c:v>0.42362666832180551</c:v>
                </c:pt>
                <c:pt idx="2">
                  <c:v>1.5540300231786688</c:v>
                </c:pt>
                <c:pt idx="3">
                  <c:v>2.0937686272518476</c:v>
                </c:pt>
                <c:pt idx="4">
                  <c:v>2.0630737875871326</c:v>
                </c:pt>
                <c:pt idx="5">
                  <c:v>2.1000617220808238</c:v>
                </c:pt>
                <c:pt idx="6">
                  <c:v>1.2477547901825048</c:v>
                </c:pt>
                <c:pt idx="7">
                  <c:v>1.4803157682660704</c:v>
                </c:pt>
                <c:pt idx="8">
                  <c:v>1.6755760892042346</c:v>
                </c:pt>
                <c:pt idx="9">
                  <c:v>1.1978898408641712</c:v>
                </c:pt>
                <c:pt idx="10">
                  <c:v>2.5328089154080935</c:v>
                </c:pt>
                <c:pt idx="11">
                  <c:v>2.9276258966039563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D9-48CD-AC08-167570A3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3358224"/>
        <c:axId val="913358552"/>
      </c:barChart>
      <c:dateAx>
        <c:axId val="91335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8552"/>
        <c:crosses val="autoZero"/>
        <c:auto val="1"/>
        <c:lblOffset val="100"/>
        <c:baseTimeUnit val="months"/>
      </c:dateAx>
      <c:valAx>
        <c:axId val="913358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EUR/MWh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35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229505</xdr:colOff>
      <xdr:row>0</xdr:row>
      <xdr:rowOff>60775</xdr:rowOff>
    </xdr:from>
    <xdr:to>
      <xdr:col>0</xdr:col>
      <xdr:colOff>770534</xdr:colOff>
      <xdr:row>1</xdr:row>
      <xdr:rowOff>65970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5" y="60775"/>
          <a:ext cx="541029" cy="513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0</xdr:rowOff>
    </xdr:from>
    <xdr:to>
      <xdr:col>3</xdr:col>
      <xdr:colOff>952500</xdr:colOff>
      <xdr:row>46</xdr:row>
      <xdr:rowOff>21771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9072</xdr:colOff>
      <xdr:row>53</xdr:row>
      <xdr:rowOff>117928</xdr:rowOff>
    </xdr:from>
    <xdr:to>
      <xdr:col>3</xdr:col>
      <xdr:colOff>938094</xdr:colOff>
      <xdr:row>69</xdr:row>
      <xdr:rowOff>38312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</xdr:row>
      <xdr:rowOff>45356</xdr:rowOff>
    </xdr:from>
    <xdr:to>
      <xdr:col>3</xdr:col>
      <xdr:colOff>952500</xdr:colOff>
      <xdr:row>23</xdr:row>
      <xdr:rowOff>67128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186762</xdr:colOff>
      <xdr:row>1</xdr:row>
      <xdr:rowOff>174129</xdr:rowOff>
    </xdr:from>
    <xdr:to>
      <xdr:col>11</xdr:col>
      <xdr:colOff>1008529</xdr:colOff>
      <xdr:row>5</xdr:row>
      <xdr:rowOff>163806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88644" y="360894"/>
          <a:ext cx="8875061" cy="7516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44450</xdr:rowOff>
        </xdr:from>
        <xdr:to>
          <xdr:col>1</xdr:col>
          <xdr:colOff>679450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246063</xdr:colOff>
      <xdr:row>14</xdr:row>
      <xdr:rowOff>119063</xdr:rowOff>
    </xdr:from>
    <xdr:to>
      <xdr:col>27</xdr:col>
      <xdr:colOff>301057</xdr:colOff>
      <xdr:row>27</xdr:row>
      <xdr:rowOff>117179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063" y="2309813"/>
          <a:ext cx="17247619" cy="23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198437</xdr:colOff>
      <xdr:row>27</xdr:row>
      <xdr:rowOff>79375</xdr:rowOff>
    </xdr:from>
    <xdr:to>
      <xdr:col>12</xdr:col>
      <xdr:colOff>226008</xdr:colOff>
      <xdr:row>38</xdr:row>
      <xdr:rowOff>137855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437" y="4643438"/>
          <a:ext cx="8028571" cy="2066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201707</xdr:colOff>
      <xdr:row>1</xdr:row>
      <xdr:rowOff>167901</xdr:rowOff>
    </xdr:from>
    <xdr:to>
      <xdr:col>15</xdr:col>
      <xdr:colOff>49759</xdr:colOff>
      <xdr:row>5</xdr:row>
      <xdr:rowOff>70108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05942" y="354666"/>
          <a:ext cx="9305817" cy="6642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44450</xdr:rowOff>
        </xdr:from>
        <xdr:to>
          <xdr:col>1</xdr:col>
          <xdr:colOff>825500</xdr:colOff>
          <xdr:row>5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209177</xdr:colOff>
      <xdr:row>1</xdr:row>
      <xdr:rowOff>186764</xdr:rowOff>
    </xdr:from>
    <xdr:to>
      <xdr:col>13</xdr:col>
      <xdr:colOff>512042</xdr:colOff>
      <xdr:row>5</xdr:row>
      <xdr:rowOff>8117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3412" y="373529"/>
          <a:ext cx="9416982" cy="5833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44450</xdr:rowOff>
        </xdr:from>
        <xdr:to>
          <xdr:col>1</xdr:col>
          <xdr:colOff>825500</xdr:colOff>
          <xdr:row>5</xdr:row>
          <xdr:rowOff>88900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22"/>
  <sheetViews>
    <sheetView zoomScale="85" zoomScaleNormal="85" workbookViewId="0">
      <selection activeCell="I11" sqref="I11"/>
    </sheetView>
  </sheetViews>
  <sheetFormatPr defaultRowHeight="14.5" x14ac:dyDescent="0.35"/>
  <cols>
    <col min="1" max="8" width="14.453125" style="1" customWidth="1"/>
    <col min="9" max="9" width="15.7265625" style="1" customWidth="1"/>
    <col min="10" max="10" width="17.81640625" style="1" customWidth="1"/>
    <col min="11" max="11" width="14.453125" style="1" customWidth="1"/>
    <col min="12" max="12" width="8.7265625" style="1"/>
    <col min="13" max="13" width="46.36328125" style="1" bestFit="1" customWidth="1"/>
    <col min="14" max="14" width="13.54296875" style="1" customWidth="1"/>
    <col min="15" max="16384" width="8.7265625" style="1"/>
  </cols>
  <sheetData>
    <row r="1" spans="1:14" ht="40" customHeight="1" x14ac:dyDescent="0.35"/>
    <row r="2" spans="1:14" ht="22" customHeight="1" thickBot="1" x14ac:dyDescent="0.4"/>
    <row r="3" spans="1:14" ht="15" thickBot="1" x14ac:dyDescent="0.4">
      <c r="A3" s="36" t="s">
        <v>5</v>
      </c>
      <c r="B3" s="7">
        <v>43811</v>
      </c>
      <c r="G3" s="8" t="s">
        <v>12</v>
      </c>
      <c r="H3" s="9"/>
      <c r="I3" s="9"/>
      <c r="J3" s="10">
        <v>0.5</v>
      </c>
    </row>
    <row r="4" spans="1:14" x14ac:dyDescent="0.35">
      <c r="G4" s="11" t="s">
        <v>11</v>
      </c>
      <c r="H4" s="12"/>
      <c r="I4" s="12"/>
      <c r="J4" s="13">
        <v>0.37</v>
      </c>
    </row>
    <row r="5" spans="1:14" x14ac:dyDescent="0.35">
      <c r="B5" s="3"/>
      <c r="G5" s="11" t="s">
        <v>13</v>
      </c>
      <c r="H5" s="12"/>
      <c r="I5" s="12" t="s">
        <v>2</v>
      </c>
      <c r="J5" s="14">
        <v>0.35</v>
      </c>
    </row>
    <row r="6" spans="1:14" ht="15" thickBot="1" x14ac:dyDescent="0.4">
      <c r="G6" s="15" t="s">
        <v>14</v>
      </c>
      <c r="H6" s="16"/>
      <c r="I6" s="16" t="s">
        <v>3</v>
      </c>
      <c r="J6" s="17">
        <v>0.65</v>
      </c>
    </row>
    <row r="7" spans="1:14" x14ac:dyDescent="0.35">
      <c r="A7" s="5"/>
      <c r="B7" s="5"/>
      <c r="C7" s="6" t="s">
        <v>7</v>
      </c>
      <c r="D7" s="5"/>
      <c r="E7" s="5"/>
      <c r="F7" s="5"/>
      <c r="G7" s="5"/>
      <c r="H7" s="5"/>
      <c r="I7" s="5"/>
      <c r="J7" s="5"/>
      <c r="K7" s="5"/>
    </row>
    <row r="8" spans="1:14" x14ac:dyDescent="0.35">
      <c r="A8" s="48" t="s">
        <v>0</v>
      </c>
      <c r="B8" s="48" t="s">
        <v>6</v>
      </c>
      <c r="C8" s="32" t="s">
        <v>1</v>
      </c>
      <c r="D8" s="32" t="s">
        <v>2</v>
      </c>
      <c r="E8" s="32" t="s">
        <v>3</v>
      </c>
      <c r="F8" s="32" t="s">
        <v>8</v>
      </c>
      <c r="G8" s="32" t="s">
        <v>9</v>
      </c>
      <c r="H8" s="48" t="s">
        <v>15</v>
      </c>
      <c r="I8" s="32" t="s">
        <v>16</v>
      </c>
      <c r="J8" s="47" t="s">
        <v>17</v>
      </c>
      <c r="K8" s="18" t="s">
        <v>24</v>
      </c>
      <c r="M8" s="49" t="s">
        <v>30</v>
      </c>
      <c r="N8" s="49"/>
    </row>
    <row r="9" spans="1:14" x14ac:dyDescent="0.35">
      <c r="A9" s="48"/>
      <c r="B9" s="48"/>
      <c r="C9" s="32" t="s">
        <v>4</v>
      </c>
      <c r="D9" s="32" t="s">
        <v>4</v>
      </c>
      <c r="E9" s="32" t="s">
        <v>4</v>
      </c>
      <c r="F9" s="32" t="s">
        <v>4</v>
      </c>
      <c r="G9" s="32" t="s">
        <v>10</v>
      </c>
      <c r="H9" s="48"/>
      <c r="I9" s="32"/>
      <c r="J9" s="47"/>
      <c r="K9" s="18"/>
      <c r="L9" s="29"/>
      <c r="M9" s="49"/>
      <c r="N9" s="49"/>
    </row>
    <row r="10" spans="1:14" x14ac:dyDescent="0.35">
      <c r="A10" s="30">
        <v>43831</v>
      </c>
      <c r="B10" s="31">
        <f>WORKDAY(A10,-7)</f>
        <v>43822</v>
      </c>
      <c r="C10" s="26">
        <v>42.8</v>
      </c>
      <c r="D10" s="26">
        <v>53.75</v>
      </c>
      <c r="E10" s="26">
        <v>36.35</v>
      </c>
      <c r="F10" s="26">
        <v>15.585000000000001</v>
      </c>
      <c r="G10" s="26">
        <v>25.3</v>
      </c>
      <c r="H10" s="27">
        <v>0.35</v>
      </c>
      <c r="I10" s="27">
        <v>0.42</v>
      </c>
      <c r="J10" s="27">
        <v>0.6</v>
      </c>
      <c r="K10" s="28">
        <f t="shared" ref="K10:K21" si="0">(B10-$B$3)/365</f>
        <v>3.0136986301369864E-2</v>
      </c>
      <c r="L10" s="29"/>
      <c r="M10" s="4" t="s">
        <v>31</v>
      </c>
      <c r="N10" s="35">
        <f>C10*2-D10</f>
        <v>31.849999999999994</v>
      </c>
    </row>
    <row r="11" spans="1:14" x14ac:dyDescent="0.35">
      <c r="A11" s="30">
        <v>43862</v>
      </c>
      <c r="B11" s="31">
        <f t="shared" ref="B11:B21" si="1">WORKDAY(A11,-7)</f>
        <v>43853</v>
      </c>
      <c r="C11" s="26">
        <v>45.75</v>
      </c>
      <c r="D11" s="26">
        <v>57</v>
      </c>
      <c r="E11" s="26">
        <v>39.83</v>
      </c>
      <c r="F11" s="26">
        <v>15.8</v>
      </c>
      <c r="G11" s="26">
        <v>25.3</v>
      </c>
      <c r="H11" s="27">
        <f>20%+(H10-20%)*0.95</f>
        <v>0.34249999999999997</v>
      </c>
      <c r="I11" s="27">
        <f>20%+(I10-20%)*0.95</f>
        <v>0.40899999999999997</v>
      </c>
      <c r="J11" s="27">
        <f>80%+(J10-80%)*0.9</f>
        <v>0.62</v>
      </c>
      <c r="K11" s="28">
        <f t="shared" si="0"/>
        <v>0.11506849315068493</v>
      </c>
      <c r="L11" s="29"/>
      <c r="M11" s="4" t="s">
        <v>31</v>
      </c>
      <c r="N11" s="35">
        <f t="shared" ref="N11:N21" si="2">C11*2-D11</f>
        <v>34.5</v>
      </c>
    </row>
    <row r="12" spans="1:14" x14ac:dyDescent="0.35">
      <c r="A12" s="30">
        <v>43891</v>
      </c>
      <c r="B12" s="31">
        <f t="shared" si="1"/>
        <v>43881</v>
      </c>
      <c r="C12" s="26">
        <v>41.9</v>
      </c>
      <c r="D12" s="26">
        <v>50.5</v>
      </c>
      <c r="E12" s="26">
        <v>37.159999999999997</v>
      </c>
      <c r="F12" s="26">
        <v>15.455</v>
      </c>
      <c r="G12" s="26">
        <v>25.3</v>
      </c>
      <c r="H12" s="27">
        <f t="shared" ref="H12:H21" si="3">20%+(H11-20%)*0.95</f>
        <v>0.33537499999999998</v>
      </c>
      <c r="I12" s="27">
        <f t="shared" ref="I12:I21" si="4">20%+(I11-20%)*0.95</f>
        <v>0.39854999999999996</v>
      </c>
      <c r="J12" s="27">
        <f t="shared" ref="J12:J21" si="5">80%+(J11-80%)*0.9</f>
        <v>0.63800000000000001</v>
      </c>
      <c r="K12" s="28">
        <f t="shared" si="0"/>
        <v>0.19178082191780821</v>
      </c>
      <c r="L12" s="29"/>
      <c r="M12" s="4" t="s">
        <v>31</v>
      </c>
      <c r="N12" s="35">
        <f t="shared" si="2"/>
        <v>33.299999999999997</v>
      </c>
    </row>
    <row r="13" spans="1:14" x14ac:dyDescent="0.35">
      <c r="A13" s="30">
        <v>43922</v>
      </c>
      <c r="B13" s="31">
        <f t="shared" si="1"/>
        <v>43913</v>
      </c>
      <c r="C13" s="26">
        <v>39.75</v>
      </c>
      <c r="D13" s="26">
        <v>45.6</v>
      </c>
      <c r="E13" s="26">
        <v>36.36</v>
      </c>
      <c r="F13" s="26">
        <v>14.753</v>
      </c>
      <c r="G13" s="26">
        <v>25.3</v>
      </c>
      <c r="H13" s="27">
        <f t="shared" si="3"/>
        <v>0.32860624999999999</v>
      </c>
      <c r="I13" s="27">
        <f t="shared" si="4"/>
        <v>0.38862249999999998</v>
      </c>
      <c r="J13" s="27">
        <f t="shared" si="5"/>
        <v>0.6542</v>
      </c>
      <c r="K13" s="28">
        <f t="shared" si="0"/>
        <v>0.27945205479452057</v>
      </c>
      <c r="L13" s="37"/>
      <c r="M13" s="4" t="s">
        <v>31</v>
      </c>
      <c r="N13" s="35">
        <f t="shared" si="2"/>
        <v>33.9</v>
      </c>
    </row>
    <row r="14" spans="1:14" x14ac:dyDescent="0.35">
      <c r="A14" s="30">
        <v>43952</v>
      </c>
      <c r="B14" s="31">
        <f t="shared" si="1"/>
        <v>43943</v>
      </c>
      <c r="C14" s="26">
        <v>39.75</v>
      </c>
      <c r="D14" s="26">
        <v>45.6</v>
      </c>
      <c r="E14" s="26">
        <v>36.75</v>
      </c>
      <c r="F14" s="26">
        <v>14.484999999999999</v>
      </c>
      <c r="G14" s="26">
        <v>25.3</v>
      </c>
      <c r="H14" s="27">
        <f t="shared" si="3"/>
        <v>0.32217593749999995</v>
      </c>
      <c r="I14" s="27">
        <f t="shared" si="4"/>
        <v>0.379191375</v>
      </c>
      <c r="J14" s="27">
        <f t="shared" si="5"/>
        <v>0.66878000000000004</v>
      </c>
      <c r="K14" s="28">
        <f t="shared" si="0"/>
        <v>0.36164383561643837</v>
      </c>
      <c r="L14" s="29"/>
      <c r="M14" s="4" t="s">
        <v>31</v>
      </c>
      <c r="N14" s="35">
        <f t="shared" si="2"/>
        <v>33.9</v>
      </c>
    </row>
    <row r="15" spans="1:14" x14ac:dyDescent="0.35">
      <c r="A15" s="30">
        <v>43983</v>
      </c>
      <c r="B15" s="31">
        <f t="shared" si="1"/>
        <v>43972</v>
      </c>
      <c r="C15" s="26">
        <v>39.75</v>
      </c>
      <c r="D15" s="26">
        <v>45.6</v>
      </c>
      <c r="E15" s="26">
        <v>36.36</v>
      </c>
      <c r="F15" s="26">
        <v>14.353</v>
      </c>
      <c r="G15" s="26">
        <v>25.3</v>
      </c>
      <c r="H15" s="27">
        <f>20%+(H14-20%)*0.95</f>
        <v>0.31606714062499996</v>
      </c>
      <c r="I15" s="27">
        <f t="shared" si="4"/>
        <v>0.37023180624999996</v>
      </c>
      <c r="J15" s="27">
        <f t="shared" si="5"/>
        <v>0.68190200000000001</v>
      </c>
      <c r="K15" s="28">
        <f t="shared" si="0"/>
        <v>0.44109589041095892</v>
      </c>
      <c r="L15" s="29"/>
      <c r="M15" s="4" t="s">
        <v>31</v>
      </c>
      <c r="N15" s="35">
        <f t="shared" si="2"/>
        <v>33.9</v>
      </c>
    </row>
    <row r="16" spans="1:14" x14ac:dyDescent="0.35">
      <c r="A16" s="30">
        <v>44013</v>
      </c>
      <c r="B16" s="31">
        <f t="shared" si="1"/>
        <v>44004</v>
      </c>
      <c r="C16" s="26">
        <v>43.1</v>
      </c>
      <c r="D16" s="26">
        <v>49.6</v>
      </c>
      <c r="E16" s="26">
        <v>39.270000000000003</v>
      </c>
      <c r="F16" s="26">
        <v>14.363</v>
      </c>
      <c r="G16" s="26">
        <v>25.3</v>
      </c>
      <c r="H16" s="27">
        <f t="shared" si="3"/>
        <v>0.31026378359374995</v>
      </c>
      <c r="I16" s="27">
        <f t="shared" si="4"/>
        <v>0.36172021593749992</v>
      </c>
      <c r="J16" s="27">
        <f t="shared" si="5"/>
        <v>0.69371179999999999</v>
      </c>
      <c r="K16" s="28">
        <f t="shared" si="0"/>
        <v>0.52876712328767128</v>
      </c>
      <c r="L16" s="29"/>
      <c r="M16" s="4" t="s">
        <v>31</v>
      </c>
      <c r="N16" s="35">
        <f t="shared" si="2"/>
        <v>36.6</v>
      </c>
    </row>
    <row r="17" spans="1:14" x14ac:dyDescent="0.35">
      <c r="A17" s="30">
        <v>44044</v>
      </c>
      <c r="B17" s="31">
        <f t="shared" si="1"/>
        <v>44035</v>
      </c>
      <c r="C17" s="26">
        <v>43.1</v>
      </c>
      <c r="D17" s="26">
        <v>49.6</v>
      </c>
      <c r="E17" s="26">
        <v>39.770000000000003</v>
      </c>
      <c r="F17" s="26">
        <v>14.583</v>
      </c>
      <c r="G17" s="26">
        <v>25.3</v>
      </c>
      <c r="H17" s="27">
        <f t="shared" si="3"/>
        <v>0.30475059441406244</v>
      </c>
      <c r="I17" s="27">
        <f t="shared" si="4"/>
        <v>0.35363420514062494</v>
      </c>
      <c r="J17" s="27">
        <f t="shared" si="5"/>
        <v>0.70434061999999997</v>
      </c>
      <c r="K17" s="28">
        <f t="shared" si="0"/>
        <v>0.61369863013698633</v>
      </c>
      <c r="L17" s="29"/>
      <c r="M17" s="4" t="s">
        <v>31</v>
      </c>
      <c r="N17" s="35">
        <f t="shared" si="2"/>
        <v>36.6</v>
      </c>
    </row>
    <row r="18" spans="1:14" x14ac:dyDescent="0.35">
      <c r="A18" s="30">
        <v>44075</v>
      </c>
      <c r="B18" s="31">
        <f t="shared" si="1"/>
        <v>44064</v>
      </c>
      <c r="C18" s="26">
        <v>43.1</v>
      </c>
      <c r="D18" s="26">
        <v>49.6</v>
      </c>
      <c r="E18" s="26">
        <v>39.340000000000003</v>
      </c>
      <c r="F18" s="26">
        <v>14.77</v>
      </c>
      <c r="G18" s="26">
        <v>25.3</v>
      </c>
      <c r="H18" s="27">
        <f t="shared" si="3"/>
        <v>0.29951306469335931</v>
      </c>
      <c r="I18" s="27">
        <f t="shared" si="4"/>
        <v>0.3459524948835937</v>
      </c>
      <c r="J18" s="27">
        <f t="shared" si="5"/>
        <v>0.71390655800000002</v>
      </c>
      <c r="K18" s="28">
        <f t="shared" si="0"/>
        <v>0.69315068493150689</v>
      </c>
      <c r="L18" s="29"/>
      <c r="M18" s="4" t="s">
        <v>31</v>
      </c>
      <c r="N18" s="35">
        <f t="shared" si="2"/>
        <v>36.6</v>
      </c>
    </row>
    <row r="19" spans="1:14" x14ac:dyDescent="0.35">
      <c r="A19" s="30">
        <v>44105</v>
      </c>
      <c r="B19" s="31">
        <f t="shared" si="1"/>
        <v>44096</v>
      </c>
      <c r="C19" s="26">
        <v>48.75</v>
      </c>
      <c r="D19" s="26">
        <v>60.65</v>
      </c>
      <c r="E19" s="26">
        <v>42.22</v>
      </c>
      <c r="F19" s="26">
        <v>16.026</v>
      </c>
      <c r="G19" s="26">
        <v>25.3</v>
      </c>
      <c r="H19" s="27">
        <f t="shared" si="3"/>
        <v>0.29453741145869133</v>
      </c>
      <c r="I19" s="27">
        <f t="shared" si="4"/>
        <v>0.33865487013941398</v>
      </c>
      <c r="J19" s="27">
        <f t="shared" si="5"/>
        <v>0.72251590220000006</v>
      </c>
      <c r="K19" s="28">
        <f t="shared" si="0"/>
        <v>0.78082191780821919</v>
      </c>
      <c r="L19" s="29"/>
      <c r="M19" s="4" t="s">
        <v>31</v>
      </c>
      <c r="N19" s="35">
        <f t="shared" si="2"/>
        <v>36.85</v>
      </c>
    </row>
    <row r="20" spans="1:14" x14ac:dyDescent="0.35">
      <c r="A20" s="30">
        <v>44136</v>
      </c>
      <c r="B20" s="31">
        <f t="shared" si="1"/>
        <v>44126</v>
      </c>
      <c r="C20" s="26">
        <v>48.75</v>
      </c>
      <c r="D20" s="26">
        <v>60.65</v>
      </c>
      <c r="E20" s="26">
        <v>42.34</v>
      </c>
      <c r="F20" s="26">
        <v>17.968</v>
      </c>
      <c r="G20" s="26">
        <v>25.3</v>
      </c>
      <c r="H20" s="27">
        <f t="shared" si="3"/>
        <v>0.28981054088575675</v>
      </c>
      <c r="I20" s="27">
        <f t="shared" si="4"/>
        <v>0.33172212663244327</v>
      </c>
      <c r="J20" s="27">
        <f t="shared" si="5"/>
        <v>0.73026431198000008</v>
      </c>
      <c r="K20" s="28">
        <f t="shared" si="0"/>
        <v>0.86301369863013699</v>
      </c>
      <c r="L20" s="29"/>
      <c r="M20" s="4" t="s">
        <v>31</v>
      </c>
      <c r="N20" s="35">
        <f t="shared" si="2"/>
        <v>36.85</v>
      </c>
    </row>
    <row r="21" spans="1:14" x14ac:dyDescent="0.35">
      <c r="A21" s="30">
        <v>44166</v>
      </c>
      <c r="B21" s="31">
        <f t="shared" si="1"/>
        <v>44155</v>
      </c>
      <c r="C21" s="26">
        <v>48.75</v>
      </c>
      <c r="D21" s="26">
        <v>60.65</v>
      </c>
      <c r="E21" s="26">
        <v>41.73</v>
      </c>
      <c r="F21" s="26">
        <v>18.376000000000001</v>
      </c>
      <c r="G21" s="26">
        <v>25.3</v>
      </c>
      <c r="H21" s="27">
        <f t="shared" si="3"/>
        <v>0.28532001384146888</v>
      </c>
      <c r="I21" s="27">
        <f t="shared" si="4"/>
        <v>0.32513602030082112</v>
      </c>
      <c r="J21" s="27">
        <f t="shared" si="5"/>
        <v>0.73723788078200003</v>
      </c>
      <c r="K21" s="28">
        <f t="shared" si="0"/>
        <v>0.94246575342465755</v>
      </c>
      <c r="L21" s="29"/>
      <c r="M21" s="4" t="s">
        <v>31</v>
      </c>
      <c r="N21" s="35">
        <f t="shared" si="2"/>
        <v>36.85</v>
      </c>
    </row>
    <row r="22" spans="1:14" x14ac:dyDescent="0.35">
      <c r="C22" s="29"/>
      <c r="D22" s="29"/>
      <c r="E22" s="29"/>
      <c r="F22" s="29"/>
      <c r="G22" s="29"/>
      <c r="H22" s="29"/>
      <c r="I22" s="29"/>
      <c r="J22" s="29"/>
      <c r="K22" s="29"/>
      <c r="L22" s="29"/>
    </row>
  </sheetData>
  <mergeCells count="5">
    <mergeCell ref="J8:J9"/>
    <mergeCell ref="H8:H9"/>
    <mergeCell ref="B8:B9"/>
    <mergeCell ref="A8:A9"/>
    <mergeCell ref="M8:N9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2B14C-D6CD-4836-9F87-7529333C238E}">
  <sheetPr codeName="Sheet6"/>
  <dimension ref="A1:D52"/>
  <sheetViews>
    <sheetView zoomScale="50" zoomScaleNormal="50" workbookViewId="0">
      <selection activeCell="G18" sqref="G18"/>
    </sheetView>
  </sheetViews>
  <sheetFormatPr defaultRowHeight="14.5" x14ac:dyDescent="0.35"/>
  <cols>
    <col min="1" max="2" width="17.26953125" style="1" customWidth="1"/>
    <col min="3" max="3" width="18.90625" style="1" customWidth="1"/>
    <col min="4" max="4" width="17.26953125" style="1" customWidth="1"/>
    <col min="5" max="16384" width="8.7265625" style="1"/>
  </cols>
  <sheetData>
    <row r="1" spans="1:4" ht="18" x14ac:dyDescent="0.4">
      <c r="A1" s="33" t="s">
        <v>29</v>
      </c>
    </row>
    <row r="5" spans="1:4" x14ac:dyDescent="0.35">
      <c r="A5" s="34" t="s">
        <v>26</v>
      </c>
    </row>
    <row r="6" spans="1:4" ht="15" thickBot="1" x14ac:dyDescent="0.4"/>
    <row r="7" spans="1:4" ht="15" thickBot="1" x14ac:dyDescent="0.4">
      <c r="A7" s="50" t="s">
        <v>25</v>
      </c>
      <c r="B7" s="51"/>
      <c r="C7" s="51"/>
      <c r="D7" s="2">
        <f>'Exc1'!D3</f>
        <v>2.9767686272518468</v>
      </c>
    </row>
    <row r="27" spans="1:4" x14ac:dyDescent="0.35">
      <c r="A27" s="34" t="s">
        <v>27</v>
      </c>
    </row>
    <row r="28" spans="1:4" ht="15" thickBot="1" x14ac:dyDescent="0.4"/>
    <row r="29" spans="1:4" ht="15" thickBot="1" x14ac:dyDescent="0.4">
      <c r="A29" s="50" t="s">
        <v>32</v>
      </c>
      <c r="B29" s="51"/>
      <c r="C29" s="51"/>
      <c r="D29" s="2">
        <f>'Exc2'!D3</f>
        <v>4.9548590336827694</v>
      </c>
    </row>
    <row r="50" spans="1:4" x14ac:dyDescent="0.35">
      <c r="A50" s="34" t="s">
        <v>28</v>
      </c>
    </row>
    <row r="51" spans="1:4" ht="15" thickBot="1" x14ac:dyDescent="0.4"/>
    <row r="52" spans="1:4" ht="15" thickBot="1" x14ac:dyDescent="0.4">
      <c r="A52" s="52" t="s">
        <v>33</v>
      </c>
      <c r="B52" s="53"/>
      <c r="C52" s="53"/>
      <c r="D52" s="2">
        <f>'Exc3'!D3</f>
        <v>1.4526561004664422</v>
      </c>
    </row>
  </sheetData>
  <mergeCells count="3">
    <mergeCell ref="A7:C7"/>
    <mergeCell ref="A29:C29"/>
    <mergeCell ref="A52:C5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95E5-6013-42E8-AC53-FE9D759D8802}">
  <sheetPr codeName="Sheet1"/>
  <dimension ref="A2:K20"/>
  <sheetViews>
    <sheetView zoomScale="55" zoomScaleNormal="55" workbookViewId="0">
      <selection activeCell="B14" sqref="B14"/>
    </sheetView>
  </sheetViews>
  <sheetFormatPr defaultRowHeight="14.5" x14ac:dyDescent="0.35"/>
  <cols>
    <col min="1" max="1" width="16.453125" style="1" customWidth="1"/>
    <col min="2" max="2" width="12.81640625" style="1" bestFit="1" customWidth="1"/>
    <col min="3" max="12" width="16.453125" style="1" customWidth="1"/>
    <col min="13" max="16384" width="8.7265625" style="1"/>
  </cols>
  <sheetData>
    <row r="2" spans="1:11" ht="15" thickBot="1" x14ac:dyDescent="0.4"/>
    <row r="3" spans="1:11" ht="15" thickBot="1" x14ac:dyDescent="0.4">
      <c r="A3" s="52" t="s">
        <v>25</v>
      </c>
      <c r="B3" s="53"/>
      <c r="C3" s="53"/>
      <c r="D3" s="2">
        <f>B12</f>
        <v>2.9767686272518468</v>
      </c>
    </row>
    <row r="8" spans="1:11" ht="15.5" x14ac:dyDescent="0.35">
      <c r="A8" s="23" t="s">
        <v>0</v>
      </c>
      <c r="B8" s="23" t="s">
        <v>20</v>
      </c>
      <c r="C8" s="23" t="s">
        <v>18</v>
      </c>
      <c r="D8" s="23" t="s">
        <v>19</v>
      </c>
      <c r="E8" s="23" t="s">
        <v>34</v>
      </c>
      <c r="F8" s="23" t="s">
        <v>35</v>
      </c>
      <c r="G8" s="23" t="s">
        <v>36</v>
      </c>
      <c r="H8" s="23" t="s">
        <v>37</v>
      </c>
      <c r="I8" s="23" t="s">
        <v>38</v>
      </c>
      <c r="J8" s="23" t="s">
        <v>39</v>
      </c>
      <c r="K8" s="23" t="s">
        <v>21</v>
      </c>
    </row>
    <row r="9" spans="1:11" x14ac:dyDescent="0.35">
      <c r="A9" s="19">
        <v>43831</v>
      </c>
      <c r="B9" s="24">
        <f>Kirk(Data!F10/HR+Data!G10*emission,Data!C10,0,Data!K10,0,Data!I10,Data!H10,Data!J10,1)</f>
        <v>2.5247219039049611</v>
      </c>
      <c r="C9" s="24">
        <f>Data!C10-Data!F10/HR-Data!G10*emission</f>
        <v>2.2689999999999948</v>
      </c>
      <c r="D9" s="24">
        <f t="shared" ref="D9:D11" si="0">B9-C9</f>
        <v>0.2557219039049663</v>
      </c>
      <c r="E9" s="24"/>
      <c r="F9" s="24"/>
      <c r="G9" s="24"/>
      <c r="H9" s="24"/>
      <c r="I9" s="24"/>
      <c r="J9" s="24"/>
      <c r="K9" s="24"/>
    </row>
    <row r="10" spans="1:11" x14ac:dyDescent="0.35">
      <c r="A10" s="19">
        <v>43862</v>
      </c>
      <c r="B10" s="24">
        <f>Kirk(Data!F11/HR+Data!G11*emission,Data!C11,0,Data!K11,0,Data!I11,Data!H11,Data!J11,1)</f>
        <v>5.2126266683218034</v>
      </c>
      <c r="C10" s="24">
        <f>Data!C11-Data!F11/HR-Data!G11*emission</f>
        <v>4.7889999999999979</v>
      </c>
      <c r="D10" s="24">
        <f t="shared" si="0"/>
        <v>0.42362666832180551</v>
      </c>
      <c r="E10" s="24"/>
      <c r="F10" s="24"/>
      <c r="G10" s="24"/>
      <c r="H10" s="24"/>
      <c r="I10" s="24"/>
      <c r="J10" s="24"/>
      <c r="K10" s="24"/>
    </row>
    <row r="11" spans="1:11" x14ac:dyDescent="0.35">
      <c r="A11" s="19">
        <v>43891</v>
      </c>
      <c r="B11" s="24">
        <f>Kirk(Data!F12/HR+Data!G12*emission,Data!C12,0,Data!K12,0,Data!I12,Data!H12,Data!J12,1)</f>
        <v>3.1830300231786666</v>
      </c>
      <c r="C11" s="24">
        <f>Data!C12-Data!F12/HR-Data!G12*emission</f>
        <v>1.6289999999999978</v>
      </c>
      <c r="D11" s="24">
        <f t="shared" si="0"/>
        <v>1.5540300231786688</v>
      </c>
      <c r="E11" s="24"/>
      <c r="F11" s="24"/>
      <c r="G11" s="24"/>
      <c r="H11" s="24"/>
      <c r="I11" s="24"/>
      <c r="J11" s="24"/>
      <c r="K11" s="24"/>
    </row>
    <row r="12" spans="1:11" x14ac:dyDescent="0.35">
      <c r="A12" s="19">
        <v>43922</v>
      </c>
      <c r="B12" s="24">
        <f>Kirk(Data!F13/HR+Data!G13*emission,Data!C13,0,Data!K13,0,Data!I13,Data!H13,Data!J13,1)</f>
        <v>2.9767686272518468</v>
      </c>
      <c r="C12" s="24">
        <f>Data!C13-Data!F13/HR-Data!G13*emission</f>
        <v>0.88299999999999912</v>
      </c>
      <c r="D12" s="24">
        <f>B12-C12</f>
        <v>2.0937686272518476</v>
      </c>
      <c r="E12" s="24"/>
      <c r="F12" s="24"/>
      <c r="G12" s="24"/>
      <c r="H12" s="24"/>
      <c r="I12" s="24"/>
      <c r="J12" s="24"/>
      <c r="K12" s="25">
        <f>DAY(EOMONTH(A12,0))</f>
        <v>30</v>
      </c>
    </row>
    <row r="13" spans="1:11" x14ac:dyDescent="0.35">
      <c r="A13" s="19">
        <v>43952</v>
      </c>
      <c r="B13" s="24">
        <f>Kirk(Data!F14/HR+Data!G14*emission,Data!C14,0,Data!K14,0,Data!I14,Data!H14,Data!J14,1)</f>
        <v>3.482073787587133</v>
      </c>
      <c r="C13" s="24">
        <f>Data!C14-Data!F14/HR-Data!G14*emission</f>
        <v>1.4190000000000005</v>
      </c>
      <c r="D13" s="24">
        <f t="shared" ref="D13:D20" si="1">B13-C13</f>
        <v>2.0630737875871326</v>
      </c>
      <c r="E13" s="24"/>
      <c r="F13" s="24"/>
      <c r="G13" s="24"/>
      <c r="H13" s="24"/>
      <c r="I13" s="24"/>
      <c r="J13" s="24"/>
      <c r="K13" s="24"/>
    </row>
    <row r="14" spans="1:11" x14ac:dyDescent="0.35">
      <c r="A14" s="19">
        <v>43983</v>
      </c>
      <c r="B14" s="24">
        <f>Kirk(Data!F15/HR+Data!G15*emission,Data!C15,0,Data!K15,0,Data!I15,Data!H15,Data!J15,1)</f>
        <v>3.7830617220808236</v>
      </c>
      <c r="C14" s="24">
        <f>Data!C15-Data!F15/HR-Data!G15*emission</f>
        <v>1.6829999999999998</v>
      </c>
      <c r="D14" s="24">
        <f t="shared" si="1"/>
        <v>2.1000617220808238</v>
      </c>
      <c r="E14" s="24"/>
      <c r="F14" s="24"/>
      <c r="G14" s="24"/>
      <c r="H14" s="24"/>
      <c r="I14" s="24"/>
      <c r="J14" s="24"/>
      <c r="K14" s="24"/>
    </row>
    <row r="15" spans="1:11" x14ac:dyDescent="0.35">
      <c r="A15" s="19">
        <v>44013</v>
      </c>
      <c r="B15" s="24">
        <f>Kirk(Data!F16/HR+Data!G16*emission,Data!C16,0,Data!K16,0,Data!I16,Data!H16,Data!J16,1)</f>
        <v>6.2607547901825065</v>
      </c>
      <c r="C15" s="24">
        <f>Data!C16-Data!F16/HR-Data!G16*emission</f>
        <v>5.0130000000000017</v>
      </c>
      <c r="D15" s="24">
        <f t="shared" si="1"/>
        <v>1.2477547901825048</v>
      </c>
      <c r="E15" s="24"/>
      <c r="F15" s="24"/>
      <c r="G15" s="24"/>
      <c r="H15" s="24"/>
      <c r="I15" s="24"/>
      <c r="J15" s="24"/>
      <c r="K15" s="24"/>
    </row>
    <row r="16" spans="1:11" x14ac:dyDescent="0.35">
      <c r="A16" s="19">
        <v>44044</v>
      </c>
      <c r="B16" s="24">
        <f>Kirk(Data!F17/HR+Data!G17*emission,Data!C17,0,Data!K17,0,Data!I17,Data!H17,Data!J17,1)</f>
        <v>6.0533157682660708</v>
      </c>
      <c r="C16" s="24">
        <f>Data!C17-Data!F17/HR-Data!G17*emission</f>
        <v>4.5730000000000004</v>
      </c>
      <c r="D16" s="24">
        <f t="shared" si="1"/>
        <v>1.4803157682660704</v>
      </c>
      <c r="E16" s="24"/>
      <c r="F16" s="24"/>
      <c r="G16" s="24"/>
      <c r="H16" s="24"/>
      <c r="I16" s="24"/>
      <c r="J16" s="24"/>
      <c r="K16" s="24"/>
    </row>
    <row r="17" spans="1:11" x14ac:dyDescent="0.35">
      <c r="A17" s="19">
        <v>44075</v>
      </c>
      <c r="B17" s="24">
        <f>Kirk(Data!F18/HR+Data!G18*emission,Data!C18,0,Data!K18,0,Data!I18,Data!H18,Data!J18,1)</f>
        <v>5.8745760892042362</v>
      </c>
      <c r="C17" s="24">
        <f>Data!C18-Data!F18/HR-Data!G18*emission</f>
        <v>4.1990000000000016</v>
      </c>
      <c r="D17" s="24">
        <f t="shared" si="1"/>
        <v>1.6755760892042346</v>
      </c>
      <c r="E17" s="24"/>
      <c r="F17" s="24"/>
      <c r="G17" s="24"/>
      <c r="H17" s="24"/>
      <c r="I17" s="24"/>
      <c r="J17" s="24"/>
      <c r="K17" s="24"/>
    </row>
    <row r="18" spans="1:11" x14ac:dyDescent="0.35">
      <c r="A18" s="19">
        <v>44105</v>
      </c>
      <c r="B18" s="24">
        <f>Kirk(Data!F19/HR+Data!G19*emission,Data!C19,0,Data!K19,0,Data!I19,Data!H19,Data!J19,1)</f>
        <v>8.5348898408641709</v>
      </c>
      <c r="C18" s="24">
        <f>Data!C19-Data!F19/HR-Data!G19*emission</f>
        <v>7.3369999999999997</v>
      </c>
      <c r="D18" s="24">
        <f t="shared" si="1"/>
        <v>1.1978898408641712</v>
      </c>
      <c r="E18" s="24"/>
      <c r="F18" s="24"/>
      <c r="G18" s="24"/>
      <c r="H18" s="24"/>
      <c r="I18" s="24"/>
      <c r="J18" s="24"/>
      <c r="K18" s="24"/>
    </row>
    <row r="19" spans="1:11" x14ac:dyDescent="0.35">
      <c r="A19" s="19">
        <v>44136</v>
      </c>
      <c r="B19" s="24">
        <f>Kirk(Data!F20/HR+Data!G20*emission,Data!C20,0,Data!K20,0,Data!I20,Data!H20,Data!J20,1)</f>
        <v>5.9858089154080929</v>
      </c>
      <c r="C19" s="24">
        <f>Data!C20-Data!F20/HR-Data!G20*emission</f>
        <v>3.4529999999999994</v>
      </c>
      <c r="D19" s="24">
        <f t="shared" si="1"/>
        <v>2.5328089154080935</v>
      </c>
      <c r="E19" s="24"/>
      <c r="F19" s="24"/>
      <c r="G19" s="24"/>
      <c r="H19" s="24"/>
      <c r="I19" s="24"/>
      <c r="J19" s="24"/>
      <c r="K19" s="24"/>
    </row>
    <row r="20" spans="1:11" x14ac:dyDescent="0.35">
      <c r="A20" s="19">
        <v>44166</v>
      </c>
      <c r="B20" s="24">
        <f>Kirk(Data!F21/HR+Data!G21*emission,Data!C21,0,Data!K21,0,Data!I21,Data!H21,Data!J21,1)</f>
        <v>5.5646258966039532</v>
      </c>
      <c r="C20" s="24">
        <f>Data!C21-Data!F21/HR-Data!G21*emission</f>
        <v>2.6369999999999969</v>
      </c>
      <c r="D20" s="24">
        <f t="shared" si="1"/>
        <v>2.9276258966039563</v>
      </c>
      <c r="E20" s="24"/>
      <c r="F20" s="24"/>
      <c r="G20" s="24"/>
      <c r="H20" s="24"/>
      <c r="I20" s="24"/>
      <c r="J20" s="24"/>
      <c r="K20" s="24"/>
    </row>
  </sheetData>
  <mergeCells count="1">
    <mergeCell ref="A3:C3"/>
  </mergeCells>
  <conditionalFormatting sqref="E12:F1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{B6F3B430-80E8-48C3-B386-F55CFFCAF849}</x14:id>
        </ext>
      </extLst>
    </cfRule>
  </conditionalFormatting>
  <conditionalFormatting sqref="G12:H1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{ABD4D838-81C6-4050-846E-A5417B2AC9AA}</x14:id>
        </ext>
      </extLst>
    </cfRule>
  </conditionalFormatting>
  <conditionalFormatting sqref="I12:J1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{15321593-7D70-4EA9-835B-33469A9CAB00}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value">
                <anchor moveWithCells="1" sizeWithCells="1">
                  <from>
                    <xdr:col>0</xdr:col>
                    <xdr:colOff>76200</xdr:colOff>
                    <xdr:row>4</xdr:row>
                    <xdr:rowOff>44450</xdr:rowOff>
                  </from>
                  <to>
                    <xdr:col>1</xdr:col>
                    <xdr:colOff>679450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F3B430-80E8-48C3-B386-F55CFFCAF8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E12:F12</xm:sqref>
        </x14:conditionalFormatting>
        <x14:conditionalFormatting xmlns:xm="http://schemas.microsoft.com/office/excel/2006/main">
          <x14:cfRule type="dataBar" id="{ABD4D838-81C6-4050-846E-A5417B2AC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G12:H12</xm:sqref>
        </x14:conditionalFormatting>
        <x14:conditionalFormatting xmlns:xm="http://schemas.microsoft.com/office/excel/2006/main">
          <x14:cfRule type="dataBar" id="{15321593-7D70-4EA9-835B-33469A9CA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B62C-6FED-4C37-9BBC-74701EA4D341}">
  <sheetPr codeName="Sheet4"/>
  <dimension ref="A2:U14"/>
  <sheetViews>
    <sheetView tabSelected="1" topLeftCell="A4" zoomScale="55" zoomScaleNormal="55" workbookViewId="0">
      <selection activeCell="R34" sqref="R34"/>
    </sheetView>
  </sheetViews>
  <sheetFormatPr defaultRowHeight="14.5" x14ac:dyDescent="0.35"/>
  <cols>
    <col min="1" max="1" width="13.1796875" bestFit="1" customWidth="1"/>
    <col min="2" max="2" width="11.08984375" customWidth="1"/>
    <col min="5" max="6" width="10.08984375" bestFit="1" customWidth="1"/>
    <col min="16" max="16" width="8.81640625" bestFit="1" customWidth="1"/>
    <col min="17" max="18" width="8.90625" bestFit="1" customWidth="1"/>
  </cols>
  <sheetData>
    <row r="2" spans="1:21" x14ac:dyDescent="0.35">
      <c r="A2" t="s">
        <v>59</v>
      </c>
      <c r="B2" s="41">
        <f ca="1">TODAY()</f>
        <v>43930</v>
      </c>
    </row>
    <row r="4" spans="1:21" x14ac:dyDescent="0.35">
      <c r="A4" t="s">
        <v>56</v>
      </c>
      <c r="C4" t="s">
        <v>40</v>
      </c>
      <c r="D4" t="s">
        <v>45</v>
      </c>
      <c r="E4" t="s">
        <v>46</v>
      </c>
      <c r="F4" t="s">
        <v>47</v>
      </c>
      <c r="G4" t="s">
        <v>24</v>
      </c>
      <c r="H4" t="s">
        <v>41</v>
      </c>
      <c r="I4" t="s">
        <v>42</v>
      </c>
      <c r="J4" t="s">
        <v>43</v>
      </c>
      <c r="K4" t="s">
        <v>44</v>
      </c>
      <c r="L4" t="s">
        <v>54</v>
      </c>
      <c r="M4" t="s">
        <v>48</v>
      </c>
      <c r="N4" t="s">
        <v>49</v>
      </c>
      <c r="O4" t="s">
        <v>50</v>
      </c>
      <c r="P4" t="s">
        <v>51</v>
      </c>
      <c r="Q4" t="s">
        <v>52</v>
      </c>
      <c r="R4" t="s">
        <v>53</v>
      </c>
      <c r="T4" t="s">
        <v>55</v>
      </c>
    </row>
    <row r="5" spans="1:21" x14ac:dyDescent="0.35">
      <c r="A5" s="41">
        <v>44287</v>
      </c>
      <c r="B5" t="s">
        <v>57</v>
      </c>
      <c r="C5">
        <v>37.200000000000003</v>
      </c>
      <c r="D5">
        <v>40.200000000000003</v>
      </c>
      <c r="E5">
        <v>36.200000000000003</v>
      </c>
      <c r="F5">
        <v>33.200000000000003</v>
      </c>
      <c r="G5">
        <f ca="1">(A5-$B$2)/365</f>
        <v>0.9780821917808219</v>
      </c>
      <c r="H5">
        <v>1</v>
      </c>
      <c r="I5">
        <v>0</v>
      </c>
      <c r="J5">
        <v>0</v>
      </c>
      <c r="K5">
        <v>0.17</v>
      </c>
      <c r="L5">
        <v>1000</v>
      </c>
      <c r="M5">
        <v>1</v>
      </c>
      <c r="N5">
        <v>0</v>
      </c>
      <c r="O5">
        <v>0</v>
      </c>
      <c r="P5" s="39">
        <f>AsianOption_Curran_Price(C5,D5,G5,H5,I5,K5,M5)</f>
        <v>0</v>
      </c>
      <c r="Q5" s="40">
        <f>AsianOption_Curran_Price(C5,E5,G5,H5,I5,K5,N5)</f>
        <v>0</v>
      </c>
      <c r="R5" s="40">
        <f>AsianOption_Curran_Price(C5,F5,G5,H5,I5,K5,O5)</f>
        <v>0</v>
      </c>
      <c r="T5" s="40">
        <f>P5-Q5-R5</f>
        <v>0</v>
      </c>
      <c r="U5" t="str">
        <f>"Develper pays "&amp;T5</f>
        <v>Develper pays 0</v>
      </c>
    </row>
    <row r="6" spans="1:21" s="43" customFormat="1" hidden="1" x14ac:dyDescent="0.35">
      <c r="A6" s="42">
        <v>44287</v>
      </c>
      <c r="C6" s="43">
        <v>37.200000000000003</v>
      </c>
      <c r="D6" s="43">
        <v>40.200000000000003</v>
      </c>
      <c r="E6" s="43">
        <v>36.200000000000003</v>
      </c>
      <c r="F6" s="43">
        <v>33.200000000000003</v>
      </c>
      <c r="G6" s="43">
        <f ca="1">(A6-$B$2)/365</f>
        <v>0.9780821917808219</v>
      </c>
      <c r="H6" s="43">
        <v>1</v>
      </c>
      <c r="I6" s="43">
        <v>0</v>
      </c>
      <c r="J6" s="43">
        <v>0</v>
      </c>
      <c r="K6" s="43">
        <v>0.17</v>
      </c>
      <c r="L6" s="43">
        <v>1000</v>
      </c>
      <c r="M6" s="43">
        <v>1</v>
      </c>
      <c r="N6" s="43">
        <v>0</v>
      </c>
      <c r="O6" s="43">
        <v>0</v>
      </c>
      <c r="P6" s="44">
        <f>AsianOptMC(K6,C6,D6,G6,H6,I6,J6,K6,L6)</f>
        <v>0</v>
      </c>
      <c r="Q6" s="45">
        <f>AsianOptMC(K6,C6,E6,G6,H6,I6,J6,K6,L6)</f>
        <v>0</v>
      </c>
      <c r="R6" s="45">
        <f>AsianOptMC(K6,C6,F6,G6,H6,I6,J6,K6,L6)</f>
        <v>0</v>
      </c>
      <c r="T6" s="45">
        <f>P6-Q6-R6</f>
        <v>0</v>
      </c>
      <c r="U6" s="43" t="str">
        <f>"Develper pays "&amp;T6</f>
        <v>Develper pays 0</v>
      </c>
    </row>
    <row r="7" spans="1:21" x14ac:dyDescent="0.35">
      <c r="P7" s="38"/>
    </row>
    <row r="10" spans="1:21" x14ac:dyDescent="0.35">
      <c r="A10" t="s">
        <v>56</v>
      </c>
      <c r="C10" t="s">
        <v>40</v>
      </c>
      <c r="D10" t="s">
        <v>45</v>
      </c>
      <c r="E10" t="s">
        <v>46</v>
      </c>
      <c r="F10" t="s">
        <v>47</v>
      </c>
      <c r="G10" t="s">
        <v>24</v>
      </c>
      <c r="H10" t="s">
        <v>41</v>
      </c>
      <c r="I10" t="s">
        <v>42</v>
      </c>
      <c r="J10" t="s">
        <v>43</v>
      </c>
      <c r="K10" t="s">
        <v>44</v>
      </c>
      <c r="L10" t="s">
        <v>54</v>
      </c>
      <c r="M10" t="s">
        <v>48</v>
      </c>
      <c r="N10" t="s">
        <v>49</v>
      </c>
      <c r="O10" t="s">
        <v>50</v>
      </c>
      <c r="P10" t="s">
        <v>51</v>
      </c>
      <c r="Q10" t="s">
        <v>52</v>
      </c>
      <c r="R10" t="s">
        <v>53</v>
      </c>
      <c r="T10" t="s">
        <v>55</v>
      </c>
    </row>
    <row r="11" spans="1:21" x14ac:dyDescent="0.35">
      <c r="A11" s="41">
        <v>44652</v>
      </c>
      <c r="B11" t="s">
        <v>58</v>
      </c>
      <c r="C11">
        <v>39.4</v>
      </c>
      <c r="D11">
        <v>42.4</v>
      </c>
      <c r="E11">
        <v>36.200000000000003</v>
      </c>
      <c r="F11">
        <v>33.200000000000003</v>
      </c>
      <c r="G11">
        <f ca="1">(A11-$B$2)/365</f>
        <v>1.978082191780822</v>
      </c>
      <c r="H11">
        <f>H5*2</f>
        <v>2</v>
      </c>
      <c r="I11">
        <v>0</v>
      </c>
      <c r="J11">
        <v>0</v>
      </c>
      <c r="K11">
        <v>0.17</v>
      </c>
      <c r="L11">
        <v>1000</v>
      </c>
      <c r="M11">
        <v>1</v>
      </c>
      <c r="N11">
        <v>0</v>
      </c>
      <c r="O11">
        <v>0</v>
      </c>
      <c r="P11" s="39">
        <f>AsianOption_Curran_Price(C11,D11,G11,H11,I11,K11,M11)</f>
        <v>0</v>
      </c>
      <c r="Q11" s="40">
        <f>AsianOption_Curran_Price(C11,E11,G11,H11,I11,K11,N11)</f>
        <v>0</v>
      </c>
      <c r="R11" s="40">
        <f>AsianOption_Curran_Price(C11,F11,G11,H11,I11,K11,O11)</f>
        <v>0</v>
      </c>
      <c r="T11" s="40">
        <f>P11-Q11-R11</f>
        <v>0</v>
      </c>
      <c r="U11" t="str">
        <f>"Develper pays "&amp;T11</f>
        <v>Develper pays 0</v>
      </c>
    </row>
    <row r="12" spans="1:21" s="43" customFormat="1" hidden="1" x14ac:dyDescent="0.35">
      <c r="A12" s="42">
        <v>44652</v>
      </c>
      <c r="C12" s="43">
        <v>39.4</v>
      </c>
      <c r="D12" s="43">
        <v>42.4</v>
      </c>
      <c r="E12" s="43">
        <v>38.4</v>
      </c>
      <c r="F12" s="43">
        <v>35.4</v>
      </c>
      <c r="G12" s="43">
        <f ca="1">(A12-$B$2)/365</f>
        <v>1.978082191780822</v>
      </c>
      <c r="H12" s="43">
        <f>H6*2</f>
        <v>2</v>
      </c>
      <c r="I12" s="43">
        <v>0</v>
      </c>
      <c r="J12" s="43">
        <v>0</v>
      </c>
      <c r="K12" s="43">
        <v>0.17</v>
      </c>
      <c r="L12" s="43">
        <v>1000</v>
      </c>
      <c r="M12" s="43">
        <v>1</v>
      </c>
      <c r="N12" s="43">
        <v>0</v>
      </c>
      <c r="O12" s="43">
        <v>0</v>
      </c>
      <c r="P12" s="44">
        <f>AsianOptMC(K12,C12,D12,G12,H12,I12,J12,K12,L12)</f>
        <v>0</v>
      </c>
      <c r="Q12" s="45">
        <f>AsianOptMC(K12,C12,E12,G12,H12,I12,J12,K12,L12)</f>
        <v>0</v>
      </c>
      <c r="R12" s="45">
        <f>AsianOptMC(K12,C12,F12,G12,H12,I12,J12,K12,L12)</f>
        <v>0</v>
      </c>
      <c r="T12" s="45">
        <f>P12-Q12-R12</f>
        <v>0</v>
      </c>
      <c r="U12" s="43" t="str">
        <f>"Develper pays "&amp;T12</f>
        <v>Develper pays 0</v>
      </c>
    </row>
    <row r="14" spans="1:21" x14ac:dyDescent="0.35">
      <c r="A14" s="46" t="s">
        <v>60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376A-6061-4EC0-AAA5-79734A08B16E}">
  <sheetPr codeName="Sheet3"/>
  <dimension ref="A2:K20"/>
  <sheetViews>
    <sheetView zoomScale="70" zoomScaleNormal="70" workbookViewId="0">
      <selection activeCell="B20" sqref="B20"/>
    </sheetView>
  </sheetViews>
  <sheetFormatPr defaultRowHeight="14.5" x14ac:dyDescent="0.35"/>
  <cols>
    <col min="1" max="2" width="14.36328125" style="1" customWidth="1"/>
    <col min="3" max="3" width="18.36328125" style="1" customWidth="1"/>
    <col min="4" max="11" width="14.36328125" style="1" customWidth="1"/>
    <col min="12" max="16384" width="8.7265625" style="1"/>
  </cols>
  <sheetData>
    <row r="2" spans="1:11" ht="15" thickBot="1" x14ac:dyDescent="0.4"/>
    <row r="3" spans="1:11" ht="15" thickBot="1" x14ac:dyDescent="0.4">
      <c r="A3" s="52" t="s">
        <v>32</v>
      </c>
      <c r="B3" s="53"/>
      <c r="C3" s="53"/>
      <c r="D3" s="2">
        <f>SUMPRODUCT(B9:B20,K9:K20)/SUM(K9:K20)</f>
        <v>4.9548590336827694</v>
      </c>
    </row>
    <row r="8" spans="1:11" ht="15.5" x14ac:dyDescent="0.35">
      <c r="A8" s="23" t="s">
        <v>0</v>
      </c>
      <c r="B8" s="23" t="s">
        <v>20</v>
      </c>
      <c r="C8" s="23" t="s">
        <v>18</v>
      </c>
      <c r="D8" s="23" t="s">
        <v>19</v>
      </c>
      <c r="E8" s="23" t="s">
        <v>34</v>
      </c>
      <c r="F8" s="23" t="s">
        <v>35</v>
      </c>
      <c r="G8" s="23" t="s">
        <v>36</v>
      </c>
      <c r="H8" s="23" t="s">
        <v>37</v>
      </c>
      <c r="I8" s="23" t="s">
        <v>38</v>
      </c>
      <c r="J8" s="23" t="s">
        <v>39</v>
      </c>
      <c r="K8" s="23" t="s">
        <v>21</v>
      </c>
    </row>
    <row r="9" spans="1:11" x14ac:dyDescent="0.35">
      <c r="A9" s="19">
        <v>43831</v>
      </c>
      <c r="B9" s="20">
        <f>Kirk(Data!F10/HR+Data!G10*emission,Data!C10,0,Data!K10,0,Data!I10,Data!H10,Data!J10,1)</f>
        <v>2.5247219039049611</v>
      </c>
      <c r="C9" s="20">
        <f>Data!C10-Data!F10/HR-Data!G10*emission</f>
        <v>2.2689999999999948</v>
      </c>
      <c r="D9" s="20">
        <f>B9-C9</f>
        <v>0.2557219039049663</v>
      </c>
      <c r="E9" s="20"/>
      <c r="F9" s="20"/>
      <c r="G9" s="20"/>
      <c r="H9" s="20"/>
      <c r="I9" s="20"/>
      <c r="J9" s="20"/>
      <c r="K9" s="22">
        <f>DAY(EOMONTH(A9,0))</f>
        <v>31</v>
      </c>
    </row>
    <row r="10" spans="1:11" x14ac:dyDescent="0.35">
      <c r="A10" s="19">
        <v>43862</v>
      </c>
      <c r="B10" s="20">
        <f>Kirk(Data!F11/HR+Data!G11*emission,Data!C11,0,Data!K11,0,Data!I11,Data!H11,Data!J11,1)</f>
        <v>5.2126266683218034</v>
      </c>
      <c r="C10" s="20">
        <f>Data!C11-Data!F11/HR-Data!G11*emission</f>
        <v>4.7889999999999979</v>
      </c>
      <c r="D10" s="20">
        <f t="shared" ref="D10:D20" si="0">B10-C10</f>
        <v>0.42362666832180551</v>
      </c>
      <c r="E10" s="20"/>
      <c r="F10" s="20"/>
      <c r="G10" s="20"/>
      <c r="H10" s="20"/>
      <c r="I10" s="20"/>
      <c r="J10" s="20"/>
      <c r="K10" s="22">
        <f t="shared" ref="K10:K20" si="1">DAY(EOMONTH(A10,0))</f>
        <v>29</v>
      </c>
    </row>
    <row r="11" spans="1:11" x14ac:dyDescent="0.35">
      <c r="A11" s="19">
        <v>43891</v>
      </c>
      <c r="B11" s="20">
        <f>Kirk(Data!F12/HR+Data!G12*emission,Data!C12,0,Data!K12,0,Data!I12,Data!H12,Data!J12,1)</f>
        <v>3.1830300231786666</v>
      </c>
      <c r="C11" s="20">
        <f>Data!C12-Data!F12/HR-Data!G12*emission</f>
        <v>1.6289999999999978</v>
      </c>
      <c r="D11" s="20">
        <f t="shared" si="0"/>
        <v>1.5540300231786688</v>
      </c>
      <c r="E11" s="20"/>
      <c r="F11" s="20"/>
      <c r="G11" s="20"/>
      <c r="H11" s="20"/>
      <c r="I11" s="20"/>
      <c r="J11" s="20"/>
      <c r="K11" s="22">
        <f t="shared" si="1"/>
        <v>31</v>
      </c>
    </row>
    <row r="12" spans="1:11" x14ac:dyDescent="0.35">
      <c r="A12" s="19">
        <v>43922</v>
      </c>
      <c r="B12" s="20">
        <f>Kirk(Data!F13/HR+Data!G13*emission,Data!C13,0,Data!K13,0,Data!I13,Data!H13,Data!J13,1)</f>
        <v>2.9767686272518468</v>
      </c>
      <c r="C12" s="20">
        <f>Data!C13-Data!F13/HR-Data!G13*emission</f>
        <v>0.88299999999999912</v>
      </c>
      <c r="D12" s="20">
        <f t="shared" si="0"/>
        <v>2.0937686272518476</v>
      </c>
      <c r="E12" s="20"/>
      <c r="F12" s="20"/>
      <c r="G12" s="20"/>
      <c r="H12" s="20"/>
      <c r="I12" s="20"/>
      <c r="J12" s="20"/>
      <c r="K12" s="22">
        <f t="shared" si="1"/>
        <v>30</v>
      </c>
    </row>
    <row r="13" spans="1:11" x14ac:dyDescent="0.35">
      <c r="A13" s="19">
        <v>43952</v>
      </c>
      <c r="B13" s="20">
        <f>Kirk(Data!F14/HR+Data!G14*emission,Data!C14,0,Data!K14,0,Data!I14,Data!H14,Data!J14,1)</f>
        <v>3.482073787587133</v>
      </c>
      <c r="C13" s="20">
        <f>Data!C14-Data!F14/HR-Data!G14*emission</f>
        <v>1.4190000000000005</v>
      </c>
      <c r="D13" s="20">
        <f t="shared" si="0"/>
        <v>2.0630737875871326</v>
      </c>
      <c r="E13" s="20"/>
      <c r="F13" s="20"/>
      <c r="G13" s="20"/>
      <c r="H13" s="20"/>
      <c r="I13" s="20"/>
      <c r="J13" s="20"/>
      <c r="K13" s="22">
        <f t="shared" si="1"/>
        <v>31</v>
      </c>
    </row>
    <row r="14" spans="1:11" x14ac:dyDescent="0.35">
      <c r="A14" s="19">
        <v>43983</v>
      </c>
      <c r="B14" s="20">
        <f>Kirk(Data!F15/HR+Data!G15*emission,Data!C15,0,Data!K15,0,Data!I15,Data!H15,Data!J15,1)</f>
        <v>3.7830617220808236</v>
      </c>
      <c r="C14" s="20">
        <f>Data!C15-Data!F15/HR-Data!G15*emission</f>
        <v>1.6829999999999998</v>
      </c>
      <c r="D14" s="20">
        <f t="shared" si="0"/>
        <v>2.1000617220808238</v>
      </c>
      <c r="E14" s="20"/>
      <c r="F14" s="20"/>
      <c r="G14" s="20"/>
      <c r="H14" s="20"/>
      <c r="I14" s="20"/>
      <c r="J14" s="20"/>
      <c r="K14" s="22">
        <f t="shared" si="1"/>
        <v>30</v>
      </c>
    </row>
    <row r="15" spans="1:11" x14ac:dyDescent="0.35">
      <c r="A15" s="19">
        <v>44013</v>
      </c>
      <c r="B15" s="20">
        <f>Kirk(Data!F16/HR+Data!G16*emission,Data!C16,0,Data!K16,0,Data!I16,Data!H16,Data!J16,1)</f>
        <v>6.2607547901825065</v>
      </c>
      <c r="C15" s="20">
        <f>Data!C16-Data!F16/HR-Data!G16*emission</f>
        <v>5.0130000000000017</v>
      </c>
      <c r="D15" s="20">
        <f t="shared" si="0"/>
        <v>1.2477547901825048</v>
      </c>
      <c r="E15" s="20"/>
      <c r="F15" s="20"/>
      <c r="G15" s="20"/>
      <c r="H15" s="20"/>
      <c r="I15" s="20"/>
      <c r="J15" s="20"/>
      <c r="K15" s="22">
        <f t="shared" si="1"/>
        <v>31</v>
      </c>
    </row>
    <row r="16" spans="1:11" x14ac:dyDescent="0.35">
      <c r="A16" s="19">
        <v>44044</v>
      </c>
      <c r="B16" s="20">
        <f>Kirk(Data!F17/HR+Data!G17*emission,Data!C17,0,Data!K17,0,Data!I17,Data!H17,Data!J17,1)</f>
        <v>6.0533157682660708</v>
      </c>
      <c r="C16" s="20">
        <f>Data!C17-Data!F17/HR-Data!G17*emission</f>
        <v>4.5730000000000004</v>
      </c>
      <c r="D16" s="20">
        <f t="shared" si="0"/>
        <v>1.4803157682660704</v>
      </c>
      <c r="E16" s="20"/>
      <c r="F16" s="20"/>
      <c r="G16" s="20"/>
      <c r="H16" s="20"/>
      <c r="I16" s="20"/>
      <c r="J16" s="20"/>
      <c r="K16" s="22">
        <f t="shared" si="1"/>
        <v>31</v>
      </c>
    </row>
    <row r="17" spans="1:11" x14ac:dyDescent="0.35">
      <c r="A17" s="19">
        <v>44075</v>
      </c>
      <c r="B17" s="20">
        <f>Kirk(Data!F18/HR+Data!G18*emission,Data!C18,0,Data!K18,0,Data!I18,Data!H18,Data!J18,1)</f>
        <v>5.8745760892042362</v>
      </c>
      <c r="C17" s="20">
        <f>Data!C18-Data!F18/HR-Data!G18*emission</f>
        <v>4.1990000000000016</v>
      </c>
      <c r="D17" s="20">
        <f t="shared" si="0"/>
        <v>1.6755760892042346</v>
      </c>
      <c r="E17" s="20"/>
      <c r="F17" s="20"/>
      <c r="G17" s="20"/>
      <c r="H17" s="20"/>
      <c r="I17" s="20"/>
      <c r="J17" s="20"/>
      <c r="K17" s="22">
        <f t="shared" si="1"/>
        <v>30</v>
      </c>
    </row>
    <row r="18" spans="1:11" x14ac:dyDescent="0.35">
      <c r="A18" s="19">
        <v>44105</v>
      </c>
      <c r="B18" s="20">
        <f>Kirk(Data!F19/HR+Data!G19*emission,Data!C19,0,Data!K19,0,Data!I19,Data!H19,Data!J19,1)</f>
        <v>8.5348898408641709</v>
      </c>
      <c r="C18" s="20">
        <f>Data!C19-Data!F19/HR-Data!G19*emission</f>
        <v>7.3369999999999997</v>
      </c>
      <c r="D18" s="20">
        <f t="shared" si="0"/>
        <v>1.1978898408641712</v>
      </c>
      <c r="E18" s="20"/>
      <c r="F18" s="20"/>
      <c r="G18" s="20"/>
      <c r="H18" s="20"/>
      <c r="I18" s="20"/>
      <c r="J18" s="20"/>
      <c r="K18" s="22">
        <f t="shared" si="1"/>
        <v>31</v>
      </c>
    </row>
    <row r="19" spans="1:11" x14ac:dyDescent="0.35">
      <c r="A19" s="19">
        <v>44136</v>
      </c>
      <c r="B19" s="20">
        <f>Kirk(Data!F20/HR+Data!G20*emission,Data!C20,0,Data!K20,0,Data!I20,Data!H20,Data!J20,1)</f>
        <v>5.9858089154080929</v>
      </c>
      <c r="C19" s="20">
        <f>Data!C20-Data!F20/HR-Data!G20*emission</f>
        <v>3.4529999999999994</v>
      </c>
      <c r="D19" s="20">
        <f t="shared" si="0"/>
        <v>2.5328089154080935</v>
      </c>
      <c r="E19" s="20"/>
      <c r="F19" s="20"/>
      <c r="G19" s="20"/>
      <c r="H19" s="20"/>
      <c r="I19" s="20"/>
      <c r="J19" s="20"/>
      <c r="K19" s="22">
        <f t="shared" si="1"/>
        <v>30</v>
      </c>
    </row>
    <row r="20" spans="1:11" x14ac:dyDescent="0.35">
      <c r="A20" s="19">
        <v>44166</v>
      </c>
      <c r="B20" s="20">
        <f>Kirk(Data!F21/HR+Data!G21*emission,Data!C21,0,Data!K21,0,Data!I21,Data!H21,Data!J21,1)</f>
        <v>5.5646258966039532</v>
      </c>
      <c r="C20" s="20">
        <f>Data!C21-Data!F21/HR-Data!G21*emission</f>
        <v>2.6369999999999969</v>
      </c>
      <c r="D20" s="20">
        <f t="shared" si="0"/>
        <v>2.9276258966039563</v>
      </c>
      <c r="E20" s="20"/>
      <c r="F20" s="20"/>
      <c r="G20" s="20"/>
      <c r="H20" s="20"/>
      <c r="I20" s="20"/>
      <c r="J20" s="20"/>
      <c r="K20" s="22">
        <f t="shared" si="1"/>
        <v>31</v>
      </c>
    </row>
  </sheetData>
  <mergeCells count="1">
    <mergeCell ref="A3:C3"/>
  </mergeCells>
  <conditionalFormatting sqref="E9:F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{867EA6D2-9D59-4133-996A-A97A53F16883}</x14:id>
        </ext>
      </extLst>
    </cfRule>
  </conditionalFormatting>
  <conditionalFormatting sqref="G9:H2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{A4ED2564-C2F0-4355-9241-EA43F96B1A66}</x14:id>
        </ext>
      </extLst>
    </cfRule>
  </conditionalFormatting>
  <conditionalFormatting sqref="I9:J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{555A5AEE-DA90-4956-BF3E-467E8BEE599B}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fresh_value">
                <anchor moveWithCells="1" sizeWithCells="1">
                  <from>
                    <xdr:col>0</xdr:col>
                    <xdr:colOff>76200</xdr:colOff>
                    <xdr:row>4</xdr:row>
                    <xdr:rowOff>44450</xdr:rowOff>
                  </from>
                  <to>
                    <xdr:col>1</xdr:col>
                    <xdr:colOff>825500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EA6D2-9D59-4133-996A-A97A53F168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E9:F20</xm:sqref>
        </x14:conditionalFormatting>
        <x14:conditionalFormatting xmlns:xm="http://schemas.microsoft.com/office/excel/2006/main">
          <x14:cfRule type="dataBar" id="{A4ED2564-C2F0-4355-9241-EA43F96B1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G9:H20</xm:sqref>
        </x14:conditionalFormatting>
        <x14:conditionalFormatting xmlns:xm="http://schemas.microsoft.com/office/excel/2006/main">
          <x14:cfRule type="dataBar" id="{555A5AEE-DA90-4956-BF3E-467E8BEE59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I9:J20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45D4-5021-4A76-9520-A951CBCF2A38}">
  <sheetPr codeName="Sheet5"/>
  <dimension ref="A2:M58"/>
  <sheetViews>
    <sheetView topLeftCell="A11" zoomScale="55" zoomScaleNormal="55" workbookViewId="0">
      <selection activeCell="D58" sqref="D58"/>
    </sheetView>
  </sheetViews>
  <sheetFormatPr defaultRowHeight="14.5" x14ac:dyDescent="0.35"/>
  <cols>
    <col min="1" max="2" width="14.36328125" style="1" customWidth="1"/>
    <col min="3" max="3" width="21.36328125" style="1" customWidth="1"/>
    <col min="4" max="11" width="14.36328125" style="1" customWidth="1"/>
    <col min="12" max="12" width="13.453125" style="1" customWidth="1"/>
    <col min="13" max="13" width="16.6328125" style="1" customWidth="1"/>
    <col min="14" max="16384" width="8.7265625" style="1"/>
  </cols>
  <sheetData>
    <row r="2" spans="1:13" ht="15" thickBot="1" x14ac:dyDescent="0.4"/>
    <row r="3" spans="1:13" ht="15" thickBot="1" x14ac:dyDescent="0.4">
      <c r="A3" s="52" t="s">
        <v>33</v>
      </c>
      <c r="B3" s="53"/>
      <c r="C3" s="53"/>
      <c r="D3" s="2">
        <f>SUMPRODUCT(B9:B20,K9:K20)/SUM(K9:K20)</f>
        <v>1.4526561004664422</v>
      </c>
    </row>
    <row r="8" spans="1:13" ht="15.5" x14ac:dyDescent="0.35">
      <c r="A8" s="23" t="s">
        <v>0</v>
      </c>
      <c r="B8" s="23" t="s">
        <v>20</v>
      </c>
      <c r="C8" s="23" t="s">
        <v>18</v>
      </c>
      <c r="D8" s="23" t="s">
        <v>19</v>
      </c>
      <c r="E8" s="23" t="s">
        <v>34</v>
      </c>
      <c r="F8" s="23" t="s">
        <v>35</v>
      </c>
      <c r="G8" s="23" t="s">
        <v>36</v>
      </c>
      <c r="H8" s="23" t="s">
        <v>37</v>
      </c>
      <c r="I8" s="23" t="s">
        <v>38</v>
      </c>
      <c r="J8" s="23" t="s">
        <v>39</v>
      </c>
      <c r="K8" s="23" t="s">
        <v>21</v>
      </c>
      <c r="L8" s="23" t="s">
        <v>22</v>
      </c>
      <c r="M8" s="23" t="s">
        <v>23</v>
      </c>
    </row>
    <row r="9" spans="1:13" x14ac:dyDescent="0.35">
      <c r="A9" s="19">
        <v>43831</v>
      </c>
      <c r="B9" s="20">
        <f>Kirk(Data!F10/HR+Data!G10*emission,Data!E10,0,Data!K10,0,Data!I10,Data!H10,Data!J10,1)*M9</f>
        <v>2.2080771210287543E-2</v>
      </c>
      <c r="C9" s="20">
        <f>(VLOOKUP(A9,Data!$A:$Z,MATCH(L9,Data!$8:$8,0),0)-Data!F10/HR-Data!G10*emission)*M9</f>
        <v>-2.7176500000000008</v>
      </c>
      <c r="D9" s="20">
        <f>B9-C9</f>
        <v>2.7397307712102883</v>
      </c>
      <c r="E9" s="20"/>
      <c r="F9" s="20"/>
      <c r="G9" s="20"/>
      <c r="H9" s="20"/>
      <c r="I9" s="20"/>
      <c r="J9" s="20"/>
      <c r="K9" s="22">
        <f>DAY(EOMONTH(A9,0))</f>
        <v>31</v>
      </c>
      <c r="L9" s="20" t="s">
        <v>3</v>
      </c>
      <c r="M9" s="21">
        <f>VLOOKUP(L9,Data!$I:$J,2,0)</f>
        <v>0.65</v>
      </c>
    </row>
    <row r="10" spans="1:13" x14ac:dyDescent="0.35">
      <c r="A10" s="19">
        <v>43862</v>
      </c>
      <c r="B10" s="20">
        <f>Kirk(Data!F11/HR+Data!G11*emission,Data!E11,0,Data!K11,0,Data!I11,Data!H11,Data!J11,1)*M10</f>
        <v>0.85113740301766783</v>
      </c>
      <c r="C10" s="20">
        <f>(VLOOKUP(A10,Data!$A:$Z,MATCH(L10,Data!$8:$8,0),0)-Data!F11/HR-Data!G11*emission)*M10</f>
        <v>-0.73515000000000252</v>
      </c>
      <c r="D10" s="20">
        <f t="shared" ref="D10:D20" si="0">B10-C10</f>
        <v>1.5862874030176703</v>
      </c>
      <c r="E10" s="20"/>
      <c r="F10" s="20"/>
      <c r="G10" s="20"/>
      <c r="H10" s="20"/>
      <c r="I10" s="20"/>
      <c r="J10" s="20"/>
      <c r="K10" s="22">
        <f t="shared" ref="K10:K20" si="1">DAY(EOMONTH(A10,0))</f>
        <v>29</v>
      </c>
      <c r="L10" s="20" t="s">
        <v>3</v>
      </c>
      <c r="M10" s="21">
        <f>VLOOKUP(L10,Data!$I:$J,2,0)</f>
        <v>0.65</v>
      </c>
    </row>
    <row r="11" spans="1:13" x14ac:dyDescent="0.35">
      <c r="A11" s="19">
        <v>43891</v>
      </c>
      <c r="B11" s="20">
        <f>Kirk(Data!F12/HR+Data!G12*emission,Data!E12,0,Data!K12,0,Data!I12,Data!H12,Data!J12,1)*M11</f>
        <v>0.60982420689290018</v>
      </c>
      <c r="C11" s="20">
        <f>(VLOOKUP(A11,Data!$A:$Z,MATCH(L11,Data!$8:$8,0),0)-Data!F12/HR-Data!G12*emission)*M11</f>
        <v>-2.022150000000003</v>
      </c>
      <c r="D11" s="20">
        <f t="shared" si="0"/>
        <v>2.6319742068929033</v>
      </c>
      <c r="E11" s="20"/>
      <c r="F11" s="20"/>
      <c r="G11" s="20"/>
      <c r="H11" s="20"/>
      <c r="I11" s="20"/>
      <c r="J11" s="20"/>
      <c r="K11" s="22">
        <f t="shared" si="1"/>
        <v>31</v>
      </c>
      <c r="L11" s="20" t="s">
        <v>3</v>
      </c>
      <c r="M11" s="21">
        <f>VLOOKUP(L11,Data!$I:$J,2,0)</f>
        <v>0.65</v>
      </c>
    </row>
    <row r="12" spans="1:13" x14ac:dyDescent="0.35">
      <c r="A12" s="19">
        <v>43922</v>
      </c>
      <c r="B12" s="20">
        <f>Kirk(Data!F13/HR+Data!G13*emission,Data!E13,0,Data!K13,0,Data!I13,Data!H13,Data!J13,1)*M12</f>
        <v>0.87967821766889676</v>
      </c>
      <c r="C12" s="20">
        <f>(VLOOKUP(A12,Data!$A:$Z,MATCH(L12,Data!$8:$8,0),0)-Data!F13/HR-Data!G13*emission)*M12</f>
        <v>-1.6295500000000009</v>
      </c>
      <c r="D12" s="20">
        <f t="shared" si="0"/>
        <v>2.5092282176688978</v>
      </c>
      <c r="E12" s="20"/>
      <c r="F12" s="20"/>
      <c r="G12" s="20"/>
      <c r="H12" s="20"/>
      <c r="I12" s="20"/>
      <c r="J12" s="20"/>
      <c r="K12" s="22">
        <f t="shared" si="1"/>
        <v>30</v>
      </c>
      <c r="L12" s="20" t="s">
        <v>3</v>
      </c>
      <c r="M12" s="21">
        <f>VLOOKUP(L12,Data!$I:$J,2,0)</f>
        <v>0.65</v>
      </c>
    </row>
    <row r="13" spans="1:13" x14ac:dyDescent="0.35">
      <c r="A13" s="19">
        <v>43952</v>
      </c>
      <c r="B13" s="20">
        <f>Kirk(Data!F14/HR+Data!G14*emission,Data!E14,0,Data!K14,0,Data!I14,Data!H14,Data!J14,1)*M13</f>
        <v>1.2315785066148124</v>
      </c>
      <c r="C13" s="20">
        <f>(VLOOKUP(A13,Data!$A:$Z,MATCH(L13,Data!$8:$8,0),0)-Data!F14/HR-Data!G14*emission)*M13</f>
        <v>-1.0276499999999997</v>
      </c>
      <c r="D13" s="20">
        <f t="shared" si="0"/>
        <v>2.2592285066148121</v>
      </c>
      <c r="E13" s="20"/>
      <c r="F13" s="20"/>
      <c r="G13" s="20"/>
      <c r="H13" s="20"/>
      <c r="I13" s="20"/>
      <c r="J13" s="20"/>
      <c r="K13" s="22">
        <f t="shared" si="1"/>
        <v>31</v>
      </c>
      <c r="L13" s="20" t="s">
        <v>3</v>
      </c>
      <c r="M13" s="21">
        <f>VLOOKUP(L13,Data!$I:$J,2,0)</f>
        <v>0.65</v>
      </c>
    </row>
    <row r="14" spans="1:13" x14ac:dyDescent="0.35">
      <c r="A14" s="19">
        <v>43983</v>
      </c>
      <c r="B14" s="20">
        <f>Kirk(Data!F15/HR+Data!G15*emission,Data!E15,0,Data!K15,0,Data!I15,Data!H15,Data!J15,1)*M14</f>
        <v>1.2799498757128183</v>
      </c>
      <c r="C14" s="20">
        <f>(VLOOKUP(A14,Data!$A:$Z,MATCH(L14,Data!$8:$8,0),0)-Data!F15/HR-Data!G15*emission)*M14</f>
        <v>-1.1095500000000005</v>
      </c>
      <c r="D14" s="20">
        <f t="shared" si="0"/>
        <v>2.3894998757128185</v>
      </c>
      <c r="E14" s="20"/>
      <c r="F14" s="20"/>
      <c r="G14" s="20"/>
      <c r="H14" s="20"/>
      <c r="I14" s="20"/>
      <c r="J14" s="20"/>
      <c r="K14" s="22">
        <f t="shared" si="1"/>
        <v>30</v>
      </c>
      <c r="L14" s="20" t="s">
        <v>3</v>
      </c>
      <c r="M14" s="21">
        <f>VLOOKUP(L14,Data!$I:$J,2,0)</f>
        <v>0.65</v>
      </c>
    </row>
    <row r="15" spans="1:13" x14ac:dyDescent="0.35">
      <c r="A15" s="19">
        <v>44013</v>
      </c>
      <c r="B15" s="20">
        <f>Kirk(Data!F16/HR+Data!G16*emission,Data!E16,0,Data!K16,0,Data!I16,Data!H16,Data!J16,1)*M15</f>
        <v>2.3541797143023309</v>
      </c>
      <c r="C15" s="20">
        <f>(VLOOKUP(A15,Data!$A:$Z,MATCH(L15,Data!$8:$8,0),0)-Data!F16/HR-Data!G16*emission)*M15</f>
        <v>0.76895000000000224</v>
      </c>
      <c r="D15" s="20">
        <f t="shared" si="0"/>
        <v>1.5852297143023286</v>
      </c>
      <c r="E15" s="20"/>
      <c r="F15" s="20"/>
      <c r="G15" s="20"/>
      <c r="H15" s="20"/>
      <c r="I15" s="20"/>
      <c r="J15" s="20"/>
      <c r="K15" s="22">
        <f t="shared" si="1"/>
        <v>31</v>
      </c>
      <c r="L15" s="20" t="s">
        <v>3</v>
      </c>
      <c r="M15" s="21">
        <f>VLOOKUP(L15,Data!$I:$J,2,0)</f>
        <v>0.65</v>
      </c>
    </row>
    <row r="16" spans="1:13" x14ac:dyDescent="0.35">
      <c r="A16" s="19">
        <v>44044</v>
      </c>
      <c r="B16" s="20">
        <f>Kirk(Data!F17/HR+Data!G17*emission,Data!E17,0,Data!K17,0,Data!I17,Data!H17,Data!J17,1)*M16</f>
        <v>2.470637249331388</v>
      </c>
      <c r="C16" s="20">
        <f>(VLOOKUP(A16,Data!$A:$Z,MATCH(L16,Data!$8:$8,0),0)-Data!F17/HR-Data!G17*emission)*M16</f>
        <v>0.80795000000000139</v>
      </c>
      <c r="D16" s="20">
        <f t="shared" si="0"/>
        <v>1.6626872493313867</v>
      </c>
      <c r="E16" s="20"/>
      <c r="F16" s="20"/>
      <c r="G16" s="20"/>
      <c r="H16" s="20"/>
      <c r="I16" s="20"/>
      <c r="J16" s="20"/>
      <c r="K16" s="22">
        <f t="shared" si="1"/>
        <v>31</v>
      </c>
      <c r="L16" s="20" t="s">
        <v>3</v>
      </c>
      <c r="M16" s="21">
        <f>VLOOKUP(L16,Data!$I:$J,2,0)</f>
        <v>0.65</v>
      </c>
    </row>
    <row r="17" spans="1:13" x14ac:dyDescent="0.35">
      <c r="A17" s="19">
        <v>44075</v>
      </c>
      <c r="B17" s="20">
        <f>Kirk(Data!F18/HR+Data!G18*emission,Data!E18,0,Data!K18,0,Data!I18,Data!H18,Data!J18,1)*M17</f>
        <v>2.2356024378647485</v>
      </c>
      <c r="C17" s="20">
        <f>(VLOOKUP(A17,Data!$A:$Z,MATCH(L17,Data!$8:$8,0),0)-Data!F18/HR-Data!G18*emission)*M17</f>
        <v>0.28535000000000238</v>
      </c>
      <c r="D17" s="20">
        <f t="shared" si="0"/>
        <v>1.9502524378647461</v>
      </c>
      <c r="E17" s="20"/>
      <c r="F17" s="20"/>
      <c r="G17" s="20"/>
      <c r="H17" s="20"/>
      <c r="I17" s="20"/>
      <c r="J17" s="20"/>
      <c r="K17" s="22">
        <f t="shared" si="1"/>
        <v>30</v>
      </c>
      <c r="L17" s="20" t="s">
        <v>3</v>
      </c>
      <c r="M17" s="21">
        <f>VLOOKUP(L17,Data!$I:$J,2,0)</f>
        <v>0.65</v>
      </c>
    </row>
    <row r="18" spans="1:13" x14ac:dyDescent="0.35">
      <c r="A18" s="19">
        <v>44105</v>
      </c>
      <c r="B18" s="20">
        <f>Kirk(Data!F19/HR+Data!G19*emission,Data!E19,0,Data!K19,0,Data!I19,Data!H19,Data!J19,1)*M18</f>
        <v>2.5611782602262489</v>
      </c>
      <c r="C18" s="20">
        <f>(VLOOKUP(A18,Data!$A:$Z,MATCH(L18,Data!$8:$8,0),0)-Data!F19/HR-Data!G19*emission)*M18</f>
        <v>0.52454999999999907</v>
      </c>
      <c r="D18" s="20">
        <f t="shared" si="0"/>
        <v>2.0366282602262498</v>
      </c>
      <c r="E18" s="20"/>
      <c r="F18" s="20"/>
      <c r="G18" s="20"/>
      <c r="H18" s="20"/>
      <c r="I18" s="20"/>
      <c r="J18" s="20"/>
      <c r="K18" s="22">
        <f t="shared" si="1"/>
        <v>31</v>
      </c>
      <c r="L18" s="20" t="s">
        <v>3</v>
      </c>
      <c r="M18" s="21">
        <f>VLOOKUP(L18,Data!$I:$J,2,0)</f>
        <v>0.65</v>
      </c>
    </row>
    <row r="19" spans="1:13" x14ac:dyDescent="0.35">
      <c r="A19" s="19">
        <v>44136</v>
      </c>
      <c r="B19" s="20">
        <f>Kirk(Data!F20/HR+Data!G20*emission,Data!E20,0,Data!K20,0,Data!I20,Data!H20,Data!J20,1)*M19</f>
        <v>1.5971930203008842</v>
      </c>
      <c r="C19" s="20">
        <f>(VLOOKUP(A19,Data!$A:$Z,MATCH(L19,Data!$8:$8,0),0)-Data!F20/HR-Data!G20*emission)*M19</f>
        <v>-1.9220499999999983</v>
      </c>
      <c r="D19" s="20">
        <f t="shared" si="0"/>
        <v>3.5192430203008822</v>
      </c>
      <c r="E19" s="20"/>
      <c r="F19" s="20"/>
      <c r="G19" s="20"/>
      <c r="H19" s="20"/>
      <c r="I19" s="20"/>
      <c r="J19" s="20"/>
      <c r="K19" s="22">
        <f t="shared" si="1"/>
        <v>30</v>
      </c>
      <c r="L19" s="20" t="s">
        <v>3</v>
      </c>
      <c r="M19" s="21">
        <f>VLOOKUP(L19,Data!$I:$J,2,0)</f>
        <v>0.65</v>
      </c>
    </row>
    <row r="20" spans="1:13" x14ac:dyDescent="0.35">
      <c r="A20" s="19">
        <v>44166</v>
      </c>
      <c r="B20" s="20">
        <f>Kirk(Data!F21/HR+Data!G21*emission,Data!E21,0,Data!K21,0,Data!I21,Data!H21,Data!J21,1)*M20</f>
        <v>1.3058903732538076</v>
      </c>
      <c r="C20" s="20">
        <f>(VLOOKUP(A20,Data!$A:$Z,MATCH(L20,Data!$8:$8,0),0)-Data!F21/HR-Data!G21*emission)*M20</f>
        <v>-2.8489500000000043</v>
      </c>
      <c r="D20" s="20">
        <f t="shared" si="0"/>
        <v>4.1548403732538119</v>
      </c>
      <c r="E20" s="20"/>
      <c r="F20" s="20"/>
      <c r="G20" s="20"/>
      <c r="H20" s="20"/>
      <c r="I20" s="20"/>
      <c r="J20" s="20"/>
      <c r="K20" s="22">
        <f t="shared" si="1"/>
        <v>31</v>
      </c>
      <c r="L20" s="20" t="s">
        <v>3</v>
      </c>
      <c r="M20" s="21">
        <f>VLOOKUP(L20,Data!$I:$J,2,0)</f>
        <v>0.65</v>
      </c>
    </row>
    <row r="23" spans="1:13" x14ac:dyDescent="0.35">
      <c r="A23" s="1" t="s">
        <v>33</v>
      </c>
      <c r="D23" s="1">
        <v>4.3130302870938371</v>
      </c>
    </row>
    <row r="24" spans="1:13" x14ac:dyDescent="0.35">
      <c r="A24" s="1" t="s">
        <v>0</v>
      </c>
      <c r="B24" s="1" t="s">
        <v>20</v>
      </c>
      <c r="C24" s="1" t="s">
        <v>18</v>
      </c>
      <c r="D24" s="1" t="s">
        <v>19</v>
      </c>
      <c r="E24" s="1" t="s">
        <v>34</v>
      </c>
      <c r="F24" s="1" t="s">
        <v>35</v>
      </c>
      <c r="G24" s="1" t="s">
        <v>36</v>
      </c>
      <c r="H24" s="1" t="s">
        <v>37</v>
      </c>
      <c r="I24" s="1" t="s">
        <v>38</v>
      </c>
      <c r="J24" s="1" t="s">
        <v>39</v>
      </c>
      <c r="K24" s="1" t="s">
        <v>21</v>
      </c>
      <c r="L24" s="1" t="s">
        <v>22</v>
      </c>
      <c r="M24" s="1" t="s">
        <v>23</v>
      </c>
    </row>
    <row r="25" spans="1:13" x14ac:dyDescent="0.35">
      <c r="A25" s="1">
        <v>43831</v>
      </c>
      <c r="B25" s="1">
        <v>4.6266503341617238</v>
      </c>
      <c r="C25" s="1">
        <v>4.6266499999999988</v>
      </c>
      <c r="D25" s="1">
        <v>3.3416172495748242E-7</v>
      </c>
      <c r="K25" s="1">
        <v>31</v>
      </c>
      <c r="L25" s="1" t="s">
        <v>2</v>
      </c>
      <c r="M25" s="1">
        <v>0.35</v>
      </c>
    </row>
    <row r="26" spans="1:13" x14ac:dyDescent="0.35">
      <c r="A26" s="1">
        <v>43862</v>
      </c>
      <c r="B26" s="1">
        <v>5.6145969372063638</v>
      </c>
      <c r="C26" s="1">
        <v>5.6136499999999989</v>
      </c>
      <c r="D26" s="1">
        <v>9.4693720636485068E-4</v>
      </c>
      <c r="K26" s="1">
        <v>29</v>
      </c>
      <c r="L26" s="1" t="s">
        <v>2</v>
      </c>
      <c r="M26" s="1">
        <v>0.35</v>
      </c>
    </row>
    <row r="27" spans="1:13" x14ac:dyDescent="0.35">
      <c r="A27" s="1">
        <v>43891</v>
      </c>
      <c r="B27" s="1">
        <v>3.6277643886961339</v>
      </c>
      <c r="C27" s="1">
        <v>3.5801499999999993</v>
      </c>
      <c r="D27" s="1">
        <v>4.7614388696134657E-2</v>
      </c>
      <c r="K27" s="1">
        <v>31</v>
      </c>
      <c r="L27" s="1" t="s">
        <v>2</v>
      </c>
      <c r="M27" s="1">
        <v>0.35</v>
      </c>
    </row>
    <row r="28" spans="1:13" x14ac:dyDescent="0.35">
      <c r="A28" s="1">
        <v>43922</v>
      </c>
      <c r="B28" s="1">
        <v>2.5541037232473558</v>
      </c>
      <c r="C28" s="1">
        <v>2.3565499999999999</v>
      </c>
      <c r="D28" s="1">
        <v>0.19755372324735587</v>
      </c>
      <c r="K28" s="1">
        <v>30</v>
      </c>
      <c r="L28" s="1" t="s">
        <v>2</v>
      </c>
      <c r="M28" s="1">
        <v>0.35</v>
      </c>
    </row>
    <row r="29" spans="1:13" x14ac:dyDescent="0.35">
      <c r="A29" s="1">
        <v>43952</v>
      </c>
      <c r="B29" s="1">
        <v>2.7582782492394511</v>
      </c>
      <c r="C29" s="1">
        <v>2.5441500000000006</v>
      </c>
      <c r="D29" s="1">
        <v>0.21412824923945051</v>
      </c>
      <c r="K29" s="1">
        <v>31</v>
      </c>
      <c r="L29" s="1" t="s">
        <v>2</v>
      </c>
      <c r="M29" s="1">
        <v>0.35</v>
      </c>
    </row>
    <row r="30" spans="1:13" x14ac:dyDescent="0.35">
      <c r="A30" s="1">
        <v>43983</v>
      </c>
      <c r="B30" s="1">
        <v>2.8702375034911656</v>
      </c>
      <c r="C30" s="1">
        <v>2.6365500000000002</v>
      </c>
      <c r="D30" s="1">
        <v>0.2336875034911654</v>
      </c>
      <c r="K30" s="1">
        <v>30</v>
      </c>
      <c r="L30" s="1" t="s">
        <v>2</v>
      </c>
      <c r="M30" s="1">
        <v>0.35</v>
      </c>
    </row>
    <row r="31" spans="1:13" x14ac:dyDescent="0.35">
      <c r="A31" s="1">
        <v>44013</v>
      </c>
      <c r="B31" s="1">
        <v>4.147619413175379</v>
      </c>
      <c r="C31" s="1">
        <v>4.0295500000000004</v>
      </c>
      <c r="D31" s="1">
        <v>0.11806941317537856</v>
      </c>
      <c r="K31" s="1">
        <v>31</v>
      </c>
      <c r="L31" s="1" t="s">
        <v>2</v>
      </c>
      <c r="M31" s="1">
        <v>0.35</v>
      </c>
    </row>
    <row r="32" spans="1:13" x14ac:dyDescent="0.35">
      <c r="A32" s="1">
        <v>44044</v>
      </c>
      <c r="B32" s="1">
        <v>4.0295678654088709</v>
      </c>
      <c r="C32" s="1">
        <v>3.8755500000000001</v>
      </c>
      <c r="D32" s="1">
        <v>0.15401786540887086</v>
      </c>
      <c r="K32" s="1">
        <v>31</v>
      </c>
      <c r="L32" s="1" t="s">
        <v>2</v>
      </c>
      <c r="M32" s="1">
        <v>0.35</v>
      </c>
    </row>
    <row r="33" spans="1:13" x14ac:dyDescent="0.35">
      <c r="A33" s="1">
        <v>44075</v>
      </c>
      <c r="B33" s="1">
        <v>3.9304280307356034</v>
      </c>
      <c r="C33" s="1">
        <v>3.7446500000000005</v>
      </c>
      <c r="D33" s="1">
        <v>0.18577803073560295</v>
      </c>
      <c r="K33" s="1">
        <v>30</v>
      </c>
      <c r="L33" s="1" t="s">
        <v>2</v>
      </c>
      <c r="M33" s="1">
        <v>0.35</v>
      </c>
    </row>
    <row r="34" spans="1:13" x14ac:dyDescent="0.35">
      <c r="A34" s="1">
        <v>44105</v>
      </c>
      <c r="B34" s="1">
        <v>6.7852047762305983</v>
      </c>
      <c r="C34" s="1">
        <v>6.7329499999999989</v>
      </c>
      <c r="D34" s="1">
        <v>5.2254776230599376E-2</v>
      </c>
      <c r="K34" s="1">
        <v>31</v>
      </c>
      <c r="L34" s="1" t="s">
        <v>2</v>
      </c>
      <c r="M34" s="1">
        <v>0.35</v>
      </c>
    </row>
    <row r="35" spans="1:13" x14ac:dyDescent="0.35">
      <c r="A35" s="1">
        <v>44136</v>
      </c>
      <c r="B35" s="1">
        <v>5.5319218505708214</v>
      </c>
      <c r="C35" s="1">
        <v>5.3735499999999989</v>
      </c>
      <c r="D35" s="1">
        <v>0.15837185057082248</v>
      </c>
      <c r="K35" s="1">
        <v>30</v>
      </c>
      <c r="L35" s="1" t="s">
        <v>2</v>
      </c>
      <c r="M35" s="1">
        <v>0.35</v>
      </c>
    </row>
    <row r="36" spans="1:13" x14ac:dyDescent="0.35">
      <c r="A36" s="1">
        <v>44166</v>
      </c>
      <c r="B36" s="1">
        <v>5.287658220055957</v>
      </c>
      <c r="C36" s="1">
        <v>5.0879499999999984</v>
      </c>
      <c r="D36" s="1">
        <v>0.19970822005595856</v>
      </c>
      <c r="K36" s="1">
        <v>31</v>
      </c>
      <c r="L36" s="1" t="s">
        <v>2</v>
      </c>
      <c r="M36" s="1">
        <v>0.35</v>
      </c>
    </row>
    <row r="39" spans="1:13" x14ac:dyDescent="0.35">
      <c r="A39" s="1" t="s">
        <v>33</v>
      </c>
      <c r="D39" s="1">
        <v>1.4526561004664422</v>
      </c>
    </row>
    <row r="40" spans="1:13" x14ac:dyDescent="0.35">
      <c r="A40" s="1" t="s">
        <v>0</v>
      </c>
      <c r="B40" s="1" t="s">
        <v>20</v>
      </c>
      <c r="C40" s="1" t="s">
        <v>18</v>
      </c>
      <c r="D40" s="1" t="s">
        <v>19</v>
      </c>
      <c r="E40" s="1" t="s">
        <v>34</v>
      </c>
      <c r="F40" s="1" t="s">
        <v>35</v>
      </c>
      <c r="G40" s="1" t="s">
        <v>36</v>
      </c>
      <c r="H40" s="1" t="s">
        <v>37</v>
      </c>
      <c r="I40" s="1" t="s">
        <v>38</v>
      </c>
      <c r="J40" s="1" t="s">
        <v>39</v>
      </c>
      <c r="K40" s="1" t="s">
        <v>21</v>
      </c>
      <c r="L40" s="1" t="s">
        <v>22</v>
      </c>
      <c r="M40" s="1" t="s">
        <v>23</v>
      </c>
    </row>
    <row r="41" spans="1:13" x14ac:dyDescent="0.35">
      <c r="A41" s="1">
        <v>43831</v>
      </c>
      <c r="B41" s="1">
        <v>2.2080771210287543E-2</v>
      </c>
      <c r="C41" s="1">
        <v>-2.7176500000000008</v>
      </c>
      <c r="D41" s="1">
        <v>2.7397307712102883</v>
      </c>
      <c r="K41" s="1">
        <v>31</v>
      </c>
      <c r="L41" s="1" t="s">
        <v>3</v>
      </c>
      <c r="M41" s="1">
        <v>0.65</v>
      </c>
    </row>
    <row r="42" spans="1:13" x14ac:dyDescent="0.35">
      <c r="A42" s="1">
        <v>43862</v>
      </c>
      <c r="B42" s="1">
        <v>0.85113740301766783</v>
      </c>
      <c r="C42" s="1">
        <v>-0.73515000000000252</v>
      </c>
      <c r="D42" s="1">
        <v>1.5862874030176703</v>
      </c>
      <c r="K42" s="1">
        <v>29</v>
      </c>
      <c r="L42" s="1" t="s">
        <v>3</v>
      </c>
      <c r="M42" s="1">
        <v>0.65</v>
      </c>
    </row>
    <row r="43" spans="1:13" x14ac:dyDescent="0.35">
      <c r="A43" s="1">
        <v>43891</v>
      </c>
      <c r="B43" s="1">
        <v>0.60982420689290018</v>
      </c>
      <c r="C43" s="1">
        <v>-2.022150000000003</v>
      </c>
      <c r="D43" s="1">
        <v>2.6319742068929033</v>
      </c>
      <c r="K43" s="1">
        <v>31</v>
      </c>
      <c r="L43" s="1" t="s">
        <v>3</v>
      </c>
      <c r="M43" s="1">
        <v>0.65</v>
      </c>
    </row>
    <row r="44" spans="1:13" x14ac:dyDescent="0.35">
      <c r="A44" s="1">
        <v>43922</v>
      </c>
      <c r="B44" s="1">
        <v>0.87967821766889676</v>
      </c>
      <c r="C44" s="1">
        <v>-1.6295500000000009</v>
      </c>
      <c r="D44" s="1">
        <v>2.5092282176688978</v>
      </c>
      <c r="K44" s="1">
        <v>30</v>
      </c>
      <c r="L44" s="1" t="s">
        <v>3</v>
      </c>
      <c r="M44" s="1">
        <v>0.65</v>
      </c>
    </row>
    <row r="45" spans="1:13" x14ac:dyDescent="0.35">
      <c r="A45" s="1">
        <v>43952</v>
      </c>
      <c r="B45" s="1">
        <v>1.2315785066148124</v>
      </c>
      <c r="C45" s="1">
        <v>-1.0276499999999997</v>
      </c>
      <c r="D45" s="1">
        <v>2.2592285066148121</v>
      </c>
      <c r="K45" s="1">
        <v>31</v>
      </c>
      <c r="L45" s="1" t="s">
        <v>3</v>
      </c>
      <c r="M45" s="1">
        <v>0.65</v>
      </c>
    </row>
    <row r="46" spans="1:13" x14ac:dyDescent="0.35">
      <c r="A46" s="1">
        <v>43983</v>
      </c>
      <c r="B46" s="1">
        <v>1.2799498757128183</v>
      </c>
      <c r="C46" s="1">
        <v>-1.1095500000000005</v>
      </c>
      <c r="D46" s="1">
        <v>2.3894998757128185</v>
      </c>
      <c r="K46" s="1">
        <v>30</v>
      </c>
      <c r="L46" s="1" t="s">
        <v>3</v>
      </c>
      <c r="M46" s="1">
        <v>0.65</v>
      </c>
    </row>
    <row r="47" spans="1:13" x14ac:dyDescent="0.35">
      <c r="A47" s="1">
        <v>44013</v>
      </c>
      <c r="B47" s="1">
        <v>2.3541797143023309</v>
      </c>
      <c r="C47" s="1">
        <v>0.76895000000000224</v>
      </c>
      <c r="D47" s="1">
        <v>1.5852297143023286</v>
      </c>
      <c r="K47" s="1">
        <v>31</v>
      </c>
      <c r="L47" s="1" t="s">
        <v>3</v>
      </c>
      <c r="M47" s="1">
        <v>0.65</v>
      </c>
    </row>
    <row r="48" spans="1:13" x14ac:dyDescent="0.35">
      <c r="A48" s="1">
        <v>44044</v>
      </c>
      <c r="B48" s="1">
        <v>2.470637249331388</v>
      </c>
      <c r="C48" s="1">
        <v>0.80795000000000139</v>
      </c>
      <c r="D48" s="1">
        <v>1.6626872493313867</v>
      </c>
      <c r="K48" s="1">
        <v>31</v>
      </c>
      <c r="L48" s="1" t="s">
        <v>3</v>
      </c>
      <c r="M48" s="1">
        <v>0.65</v>
      </c>
    </row>
    <row r="49" spans="1:13" x14ac:dyDescent="0.35">
      <c r="A49" s="1">
        <v>44075</v>
      </c>
      <c r="B49" s="1">
        <v>2.2356024378647485</v>
      </c>
      <c r="C49" s="1">
        <v>0.28535000000000238</v>
      </c>
      <c r="D49" s="1">
        <v>1.9502524378647461</v>
      </c>
      <c r="K49" s="1">
        <v>30</v>
      </c>
      <c r="L49" s="1" t="s">
        <v>3</v>
      </c>
      <c r="M49" s="1">
        <v>0.65</v>
      </c>
    </row>
    <row r="50" spans="1:13" x14ac:dyDescent="0.35">
      <c r="A50" s="1">
        <v>44105</v>
      </c>
      <c r="B50" s="1">
        <v>2.5611782602262489</v>
      </c>
      <c r="C50" s="1">
        <v>0.52454999999999907</v>
      </c>
      <c r="D50" s="1">
        <v>2.0366282602262498</v>
      </c>
      <c r="K50" s="1">
        <v>31</v>
      </c>
      <c r="L50" s="1" t="s">
        <v>3</v>
      </c>
      <c r="M50" s="1">
        <v>0.65</v>
      </c>
    </row>
    <row r="51" spans="1:13" x14ac:dyDescent="0.35">
      <c r="A51" s="1">
        <v>44136</v>
      </c>
      <c r="B51" s="1">
        <v>1.5971930203008842</v>
      </c>
      <c r="C51" s="1">
        <v>-1.9220499999999983</v>
      </c>
      <c r="D51" s="1">
        <v>3.5192430203008822</v>
      </c>
      <c r="K51" s="1">
        <v>30</v>
      </c>
      <c r="L51" s="1" t="s">
        <v>3</v>
      </c>
      <c r="M51" s="1">
        <v>0.65</v>
      </c>
    </row>
    <row r="52" spans="1:13" x14ac:dyDescent="0.35">
      <c r="A52" s="1">
        <v>44166</v>
      </c>
      <c r="B52" s="1">
        <v>1.3058903732538076</v>
      </c>
      <c r="C52" s="1">
        <v>-2.8489500000000043</v>
      </c>
      <c r="D52" s="1">
        <v>4.1548403732538119</v>
      </c>
      <c r="K52" s="1">
        <v>31</v>
      </c>
      <c r="L52" s="1" t="s">
        <v>3</v>
      </c>
      <c r="M52" s="1">
        <v>0.65</v>
      </c>
    </row>
    <row r="58" spans="1:13" x14ac:dyDescent="0.35">
      <c r="D58" s="1">
        <f>D39+D23</f>
        <v>5.7656863875602795</v>
      </c>
    </row>
  </sheetData>
  <mergeCells count="1">
    <mergeCell ref="A3:C3"/>
  </mergeCells>
  <conditionalFormatting sqref="E9:F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{81A634EB-71F4-42B1-A8BA-A80E7C0D9996}</x14:id>
        </ext>
      </extLst>
    </cfRule>
  </conditionalFormatting>
  <conditionalFormatting sqref="G9:H2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{57F1BA80-6BDD-4479-9771-22F70FD8D8C1}</x14:id>
        </ext>
      </extLst>
    </cfRule>
  </conditionalFormatting>
  <conditionalFormatting sqref="I9:J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{DFE4307F-019A-4FFF-B59E-41D975E4B6CE}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Button 6">
              <controlPr defaultSize="0" print="0" autoFill="0" autoPict="0" macro="[0]!Refresh_value">
                <anchor moveWithCells="1" sizeWithCells="1">
                  <from>
                    <xdr:col>0</xdr:col>
                    <xdr:colOff>76200</xdr:colOff>
                    <xdr:row>4</xdr:row>
                    <xdr:rowOff>44450</xdr:rowOff>
                  </from>
                  <to>
                    <xdr:col>1</xdr:col>
                    <xdr:colOff>825500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1A634EB-71F4-42B1-A8BA-A80E7C0D9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E9:F20</xm:sqref>
        </x14:conditionalFormatting>
        <x14:conditionalFormatting xmlns:xm="http://schemas.microsoft.com/office/excel/2006/main">
          <x14:cfRule type="dataBar" id="{57F1BA80-6BDD-4479-9771-22F70FD8D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G9:H20</xm:sqref>
        </x14:conditionalFormatting>
        <x14:conditionalFormatting xmlns:xm="http://schemas.microsoft.com/office/excel/2006/main">
          <x14:cfRule type="dataBar" id="{DFE4307F-019A-4FFF-B59E-41D975E4B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I9:J20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4137B7-4FE3-4F39-BF66-60D73CB10B6B}">
          <x14:formula1>
            <xm:f>Data!$I$5:$I$6</xm:f>
          </x14:formula1>
          <xm:sqref>L9:L20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Data</vt:lpstr>
      <vt:lpstr>Summary</vt:lpstr>
      <vt:lpstr>Exc1</vt:lpstr>
      <vt:lpstr>Asian Curran</vt:lpstr>
      <vt:lpstr>Exc2</vt:lpstr>
      <vt:lpstr>Exc3</vt:lpstr>
      <vt:lpstr>emission</vt:lpstr>
      <vt:lpstr>HR</vt:lpstr>
      <vt:lpstr>valuation_date</vt:lpstr>
    </vt:vector>
  </TitlesOfParts>
  <Company>Shell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Daplet</dc:creator>
  <cp:lastModifiedBy>daplet chris</cp:lastModifiedBy>
  <dcterms:created xsi:type="dcterms:W3CDTF">2013-01-31T16:38:56Z</dcterms:created>
  <dcterms:modified xsi:type="dcterms:W3CDTF">2020-04-09T15:51:34Z</dcterms:modified>
</cp:coreProperties>
</file>